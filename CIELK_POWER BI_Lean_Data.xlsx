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documents compétition cielk 25-26_VF_VF\"/>
    </mc:Choice>
  </mc:AlternateContent>
  <xr:revisionPtr revIDLastSave="0" documentId="13_ncr:1_{6817132F-1CB4-44E5-A1AC-565A9BF54B07}" xr6:coauthVersionLast="47" xr6:coauthVersionMax="47" xr10:uidLastSave="{00000000-0000-0000-0000-000000000000}"/>
  <bookViews>
    <workbookView xWindow="1160" yWindow="1920" windowWidth="8310" windowHeight="5210" firstSheet="6" activeTab="6" xr2:uid="{5D1CF8B4-C148-489F-898C-4A0298413A6A}"/>
  </bookViews>
  <sheets>
    <sheet name="Production" sheetId="1" r:id="rId1"/>
    <sheet name="Performance" sheetId="2" r:id="rId2"/>
    <sheet name="Qualité" sheetId="3" r:id="rId3"/>
    <sheet name="Défauts" sheetId="4" r:id="rId4"/>
    <sheet name="Disponibilité Matière" sheetId="7" r:id="rId5"/>
    <sheet name="Polyvalence et Formation" sheetId="6" r:id="rId6"/>
    <sheet name="Cause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7" l="1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</calcChain>
</file>

<file path=xl/sharedStrings.xml><?xml version="1.0" encoding="utf-8"?>
<sst xmlns="http://schemas.openxmlformats.org/spreadsheetml/2006/main" count="398" uniqueCount="60">
  <si>
    <t>Semaine</t>
  </si>
  <si>
    <t>Opérateur</t>
  </si>
  <si>
    <t>Nombre de changements</t>
  </si>
  <si>
    <t>W1</t>
  </si>
  <si>
    <t>Op1</t>
  </si>
  <si>
    <t>Op2</t>
  </si>
  <si>
    <t>W2</t>
  </si>
  <si>
    <t>W3</t>
  </si>
  <si>
    <t>W4</t>
  </si>
  <si>
    <t>W5</t>
  </si>
  <si>
    <t>W6</t>
  </si>
  <si>
    <t>W7</t>
  </si>
  <si>
    <t>W8</t>
  </si>
  <si>
    <t>TDT (h)</t>
  </si>
  <si>
    <t>TA (h)</t>
  </si>
  <si>
    <t>TCT (s)</t>
  </si>
  <si>
    <t>TCM (min)</t>
  </si>
  <si>
    <t>PA (u)</t>
  </si>
  <si>
    <t>CT (u/h)</t>
  </si>
  <si>
    <t>Retouches (u)</t>
  </si>
  <si>
    <t>Rebuts (u)</t>
  </si>
  <si>
    <t>Type de Défaut</t>
  </si>
  <si>
    <t>Câble coupé</t>
  </si>
  <si>
    <t>Autres défauts</t>
  </si>
  <si>
    <t>Cause</t>
  </si>
  <si>
    <t>Fréquence</t>
  </si>
  <si>
    <t>Défauts de matière première</t>
  </si>
  <si>
    <t>Retard de livraison fournisseur</t>
  </si>
  <si>
    <t>Pannes machines</t>
  </si>
  <si>
    <t>Manque de formation</t>
  </si>
  <si>
    <t>Pannes récurrentes</t>
  </si>
  <si>
    <t>Fatigue et absentéisme</t>
  </si>
  <si>
    <t>Variation fournisseur</t>
  </si>
  <si>
    <t>Erreurs de communication</t>
  </si>
  <si>
    <t>Mauvais stockage des matières</t>
  </si>
  <si>
    <t>Procédures non standardisées</t>
  </si>
  <si>
    <t>Désorganisation du poste de travail</t>
  </si>
  <si>
    <t>Mauvaise ergonomie du poste</t>
  </si>
  <si>
    <t>Bruit excessif</t>
  </si>
  <si>
    <t>Usure des outillages</t>
  </si>
  <si>
    <t>Temps de changement trop longs</t>
  </si>
  <si>
    <t>Non-respect des processus</t>
  </si>
  <si>
    <t>Mauvaise planification de la production</t>
  </si>
  <si>
    <t>Stock intermédiaire mal géré</t>
  </si>
  <si>
    <t>Non-respect des consignes de sécurité</t>
  </si>
  <si>
    <t>Éclairage insuffisant</t>
  </si>
  <si>
    <t>NPM</t>
  </si>
  <si>
    <t>NTPP</t>
  </si>
  <si>
    <t>HFP (h)</t>
  </si>
  <si>
    <t>HFR (h)</t>
  </si>
  <si>
    <t>Composant</t>
  </si>
  <si>
    <t>Stock Début</t>
  </si>
  <si>
    <t>Entrées</t>
  </si>
  <si>
    <t>Consommation</t>
  </si>
  <si>
    <t>Stock Fin</t>
  </si>
  <si>
    <t>Câbles</t>
  </si>
  <si>
    <t>Connecteurs</t>
  </si>
  <si>
    <t>Stock d'alerte</t>
  </si>
  <si>
    <t>Clé</t>
  </si>
  <si>
    <t>Défaut de soudure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</si>
</sst>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79998168889431442"/>
      </patternFill>
    </fill>
    <fill>
      <patternFill patternType="solid">
        <fgColor theme="5" tint="0.79998168889431442"/>
        <bgColor theme="5" tint="0.5999938962981048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BB3FF"/>
        <bgColor indexed="64"/>
      </patternFill>
    </fill>
    <fill>
      <patternFill patternType="solid">
        <fgColor rgb="FFD661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2BAEA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 applyAlignment="1">
      <alignment horizontal="center" vertical="distributed" wrapText="1"/>
    </xf>
    <xf numFmtId="0" fontId="0" fillId="3" borderId="4" xfId="0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vertical="center" wrapText="1"/>
    </xf>
    <xf numFmtId="0" fontId="0" fillId="7" borderId="5" xfId="0" applyFill="1" applyBorder="1" applyAlignment="1">
      <alignment vertical="center" wrapText="1"/>
    </xf>
    <xf numFmtId="0" fontId="0" fillId="7" borderId="6" xfId="0" applyFill="1" applyBorder="1" applyAlignment="1">
      <alignment horizontal="center" vertical="center" wrapText="1"/>
    </xf>
    <xf numFmtId="0" fontId="1" fillId="8" borderId="0" xfId="0" applyFont="1" applyFill="1"/>
    <xf numFmtId="0" fontId="1" fillId="8" borderId="1" xfId="0" applyFont="1" applyFill="1" applyBorder="1"/>
    <xf numFmtId="0" fontId="0" fillId="9" borderId="6" xfId="0" applyFill="1" applyBorder="1" applyAlignment="1">
      <alignment horizontal="center"/>
    </xf>
    <xf numFmtId="0" fontId="0" fillId="9" borderId="5" xfId="0" applyFill="1" applyBorder="1"/>
    <xf numFmtId="0" fontId="0" fillId="0" borderId="5" xfId="0" applyBorder="1"/>
    <xf numFmtId="0" fontId="0" fillId="10" borderId="3" xfId="0" applyFill="1" applyBorder="1" applyAlignment="1">
      <alignment horizontal="center"/>
    </xf>
    <xf numFmtId="0" fontId="0" fillId="10" borderId="4" xfId="0" applyFill="1" applyBorder="1"/>
    <xf numFmtId="0" fontId="0" fillId="10" borderId="5" xfId="0" applyFill="1" applyBorder="1"/>
    <xf numFmtId="0" fontId="0" fillId="10" borderId="5" xfId="0" applyFill="1" applyBorder="1" applyAlignment="1">
      <alignment vertical="center" wrapText="1"/>
    </xf>
    <xf numFmtId="0" fontId="0" fillId="10" borderId="6" xfId="0" applyFill="1" applyBorder="1" applyAlignment="1">
      <alignment horizontal="center"/>
    </xf>
    <xf numFmtId="0" fontId="0" fillId="9" borderId="5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12" borderId="0" xfId="0" applyFill="1"/>
    <xf numFmtId="0" fontId="0" fillId="1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6" borderId="0" xfId="0" applyFill="1"/>
    <xf numFmtId="0" fontId="0" fillId="16" borderId="10" xfId="0" applyFill="1" applyBorder="1"/>
    <xf numFmtId="0" fontId="0" fillId="16" borderId="11" xfId="0" applyFill="1" applyBorder="1"/>
    <xf numFmtId="0" fontId="0" fillId="16" borderId="12" xfId="0" applyFill="1" applyBorder="1"/>
    <xf numFmtId="0" fontId="0" fillId="16" borderId="5" xfId="0" applyFill="1" applyBorder="1"/>
    <xf numFmtId="0" fontId="0" fillId="17" borderId="0" xfId="0" applyFill="1"/>
    <xf numFmtId="0" fontId="0" fillId="17" borderId="12" xfId="0" applyFill="1" applyBorder="1"/>
    <xf numFmtId="0" fontId="0" fillId="17" borderId="5" xfId="0" applyFill="1" applyBorder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1" fillId="8" borderId="2" xfId="0" applyFont="1" applyFill="1" applyBorder="1"/>
    <xf numFmtId="0" fontId="0" fillId="11" borderId="0" xfId="0" applyFill="1"/>
    <xf numFmtId="0" fontId="0" fillId="7" borderId="0" xfId="0" applyFill="1"/>
    <xf numFmtId="0" fontId="0" fillId="10" borderId="0" xfId="0" applyFill="1"/>
    <xf numFmtId="0" fontId="0" fillId="9" borderId="0" xfId="0" applyFill="1"/>
    <xf numFmtId="0" fontId="0" fillId="14" borderId="0" xfId="0" applyFill="1"/>
    <xf numFmtId="0" fontId="0" fillId="13" borderId="0" xfId="0" applyFill="1"/>
    <xf numFmtId="0" fontId="1" fillId="15" borderId="9" xfId="0" applyFont="1" applyFill="1" applyBorder="1" applyAlignment="1">
      <alignment horizontal="left" vertical="top"/>
    </xf>
    <xf numFmtId="0" fontId="0" fillId="23" borderId="0" xfId="0" applyFill="1"/>
    <xf numFmtId="0" fontId="0" fillId="23" borderId="1" xfId="0" applyFill="1" applyBorder="1"/>
    <xf numFmtId="0" fontId="0" fillId="24" borderId="0" xfId="0" applyFill="1"/>
    <xf numFmtId="0" fontId="0" fillId="24" borderId="1" xfId="0" applyFill="1" applyBorder="1"/>
    <xf numFmtId="0" fontId="2" fillId="15" borderId="7" xfId="0" applyFont="1" applyFill="1" applyBorder="1" applyAlignment="1">
      <alignment horizontal="left" vertical="top"/>
    </xf>
    <xf numFmtId="0" fontId="1" fillId="15" borderId="8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38">
    <dxf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2BAEAB"/>
        </patternFill>
      </fill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7" tint="0.79998168889431442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7" tint="0.79998168889431442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7" tint="0.79998168889431442"/>
          <bgColor auto="1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7" tint="0.79998168889431442"/>
          <bgColor auto="1"/>
        </patternFill>
      </fill>
      <border diagonalUp="0" diagonalDown="0" outline="0">
        <left/>
        <right/>
        <top style="thin">
          <color theme="0"/>
        </top>
        <bottom/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/>
        </left>
        <right/>
        <top/>
        <bottom/>
        <vertical/>
        <horizontal/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7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solid">
          <fgColor indexed="64"/>
          <bgColor rgb="FFEBB3FF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rgb="FF7030A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5"/>
          <bgColor theme="5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colors>
    <mruColors>
      <color rgb="FFE2EFDA"/>
      <color rgb="FFC6E0B4"/>
      <color rgb="FFEBB3FF"/>
      <color rgb="FFD661FF"/>
      <color rgb="FF2BAEAB"/>
      <color rgb="FF33CCCC"/>
      <color rgb="FF89FFE0"/>
      <color rgb="FF53FFD2"/>
      <color rgb="FF15FFC2"/>
      <color rgb="FFC1F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52AC4-3F24-4C3D-8C8A-8599156C5B9A}" name="tblProduction" displayName="tblProduction" ref="A1:H17" totalsRowShown="0" headerRowDxfId="37">
  <autoFilter ref="A1:H17" xr:uid="{D0A52AC4-3F24-4C3D-8C8A-8599156C5B9A}"/>
  <tableColumns count="8">
    <tableColumn id="9" xr3:uid="{E82E77CD-A926-4FD8-A935-3E61BF9B2908}" name="Clé" dataDxfId="36">
      <calculatedColumnFormula>tblProduction[[#This Row],[Semaine]] &amp;"-"&amp;tblProduction[[#This Row],[Opérateur]]</calculatedColumnFormula>
    </tableColumn>
    <tableColumn id="1" xr3:uid="{AADA36B0-1B9F-4148-9173-8C7B104787D5}" name="Semaine"/>
    <tableColumn id="2" xr3:uid="{0478928E-0875-48EF-A8BD-8575E2EEC3D8}" name="Opérateur"/>
    <tableColumn id="3" xr3:uid="{3AEDD3BF-634E-40CD-AB22-2520320C33D9}" name="TDT (h)"/>
    <tableColumn id="4" xr3:uid="{3E3B3C25-B038-429D-B5B7-74E2B280DB15}" name="TA (h)"/>
    <tableColumn id="5" xr3:uid="{7225314D-02BC-41BF-8B73-18A0AD2977FE}" name="TCT (s)"/>
    <tableColumn id="6" xr3:uid="{D833D287-41C6-4F93-822D-1AD0D6C1F0E7}" name="TCM (min)"/>
    <tableColumn id="7" xr3:uid="{B4A40A91-93F1-4732-BBBE-7546F8F67281}" name="Nombre de changements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C935E4-0E72-4A9E-9DE5-CD0B33DAC1CC}" name="tblPerformance" displayName="tblPerformance" ref="A1:E17" totalsRowShown="0" headerRowDxfId="35" dataDxfId="34">
  <autoFilter ref="A1:E17" xr:uid="{90C935E4-0E72-4A9E-9DE5-CD0B33DAC1CC}"/>
  <tableColumns count="5">
    <tableColumn id="5" xr3:uid="{F76FDF22-7680-4EC9-8D23-29D7B1BC7F3E}" name="Clé" dataDxfId="33">
      <calculatedColumnFormula>tblPerformance[[#This Row],[Semaine]]&amp;"-"&amp;tblPerformance[[#This Row],[Opérateur]]</calculatedColumnFormula>
    </tableColumn>
    <tableColumn id="1" xr3:uid="{1B8583B9-5558-4530-B7D2-0D6B8C28E698}" name="Semaine" dataDxfId="32"/>
    <tableColumn id="2" xr3:uid="{2D7A5AA9-5368-43C7-BF9F-527192890202}" name="Opérateur" dataDxfId="31"/>
    <tableColumn id="3" xr3:uid="{FD6221FE-793C-44C0-9C24-6D316DA94671}" name="PA (u)" dataDxfId="30"/>
    <tableColumn id="4" xr3:uid="{9F4411B1-5F3E-42D6-9832-7B6BA59F62B2}" name="CT (u/h)" dataDxfId="29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99F45E-CC88-47B4-8CD1-CA0052822DD5}" name="tblQualité" displayName="tblQualité" ref="A1:E17" totalsRowShown="0" headerRowDxfId="28" dataDxfId="27">
  <autoFilter ref="A1:E17" xr:uid="{4299F45E-CC88-47B4-8CD1-CA0052822DD5}"/>
  <tableColumns count="5">
    <tableColumn id="3" xr3:uid="{2B5BC8F3-549D-4BA1-9B68-7385CC1F3EB0}" name="Clé" dataDxfId="26">
      <calculatedColumnFormula>tblQualité[[#This Row],[Semaine]]&amp;"-"&amp;tblQualité[[#This Row],[Opérateur]]</calculatedColumnFormula>
    </tableColumn>
    <tableColumn id="1" xr3:uid="{BFE1D448-DAEA-45AF-B513-CBE2916BA94C}" name="Semaine" dataDxfId="25"/>
    <tableColumn id="2" xr3:uid="{A9A09779-D132-4CEF-B2E5-061F5D39E720}" name="Opérateur" dataDxfId="24"/>
    <tableColumn id="6" xr3:uid="{324073A2-8354-4933-B660-C8CA35A7EE4B}" name="Retouches (u)" dataDxfId="23"/>
    <tableColumn id="7" xr3:uid="{17393778-EE06-47DE-BF9F-ACBE0CA8D8A8}" name="Rebuts (u)" dataDxfId="22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F0A596-2BF2-4794-9008-675A0AF6587F}" name="tblDéfauts" displayName="tblDéfauts" ref="A1:F49" totalsRowShown="0" headerRowDxfId="21" dataDxfId="20" tableBorderDxfId="19">
  <autoFilter ref="A1:F49" xr:uid="{41F0A596-2BF2-4794-9008-675A0AF6587F}"/>
  <tableColumns count="6">
    <tableColumn id="6" xr3:uid="{BF6B1299-6EAC-4B8E-A771-1DF95A56802E}" name="Clé" dataDxfId="18">
      <calculatedColumnFormula>tblDéfauts[[#This Row],[Semaine]]&amp;"-"&amp;tblDéfauts[[#This Row],[Opérateur]]</calculatedColumnFormula>
    </tableColumn>
    <tableColumn id="1" xr3:uid="{7DB99A7B-2A11-47B1-B267-AF9F97975326}" name="Semaine" dataDxfId="17"/>
    <tableColumn id="2" xr3:uid="{61C8B18F-C703-4B47-BEF3-EDE01C77A069}" name="Opérateur" dataDxfId="16"/>
    <tableColumn id="3" xr3:uid="{3A3CB814-7A07-499D-94B7-9B409BC53B50}" name="Type de Défaut" dataDxfId="15"/>
    <tableColumn id="4" xr3:uid="{C00EDCB3-BD68-4441-92E4-42518F2AB96F}" name="Retouches (u)" dataDxfId="14"/>
    <tableColumn id="5" xr3:uid="{03D48812-CCB9-4519-9D26-8DCDB5167655}" name="Rebuts (u)" dataDxfId="13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3E4950-5CAB-496E-A5B9-847D5CE9162B}" name="tblDisponibilitéMatière" displayName="tblDisponibilitéMatière" ref="A1:I33" totalsRowShown="0" headerRowDxfId="12" dataDxfId="11">
  <autoFilter ref="A1:I33" xr:uid="{073E4950-5CAB-496E-A5B9-847D5CE9162B}"/>
  <tableColumns count="9">
    <tableColumn id="8" xr3:uid="{998E1672-FFCD-4E83-8226-AF1D83341A85}" name="Clé" dataDxfId="10">
      <calculatedColumnFormula>tblDisponibilitéMatière[[#This Row],[Semaine]]&amp;"-"&amp;tblDisponibilitéMatière[[#This Row],[Opérateur]]</calculatedColumnFormula>
    </tableColumn>
    <tableColumn id="1" xr3:uid="{9CC0BD99-E420-4577-B975-967D9792B5AF}" name="Semaine" dataDxfId="9"/>
    <tableColumn id="2" xr3:uid="{335B5111-EA6C-419B-93C6-3022E434508D}" name="Opérateur" dataDxfId="8"/>
    <tableColumn id="3" xr3:uid="{9885600F-C123-472A-93A4-4FED4E6E31E4}" name="Composant" dataDxfId="7"/>
    <tableColumn id="4" xr3:uid="{87EE8D55-2B5E-484A-B90E-EE7F101B1A51}" name="Stock Début" dataDxfId="6"/>
    <tableColumn id="5" xr3:uid="{44557C17-0B83-4DEA-A49A-7563C1F2EE71}" name="Entrées" dataDxfId="5"/>
    <tableColumn id="9" xr3:uid="{72BFDB46-5E23-4942-B410-C173DC3F4671}" name="Consommation" dataDxfId="4"/>
    <tableColumn id="10" xr3:uid="{1A085600-A7AA-45DB-9F49-74AD30ECC1F5}" name="Stock Fin" dataDxfId="3"/>
    <tableColumn id="11" xr3:uid="{E68B782C-47D8-4927-9F1D-2729C145BF8F}" name="Stock d'alerte" dataDxfId="2"/>
  </tableColumns>
  <tableStyleInfo name="TableStyleMedium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8758CDB-7583-43DB-8624-7BE509E5B73C}" name="tblPolyvalence_Formation" displayName="tblPolyvalence_Formation" ref="A1:E3" totalsRowShown="0" headerRowDxfId="1">
  <autoFilter ref="A1:E3" xr:uid="{28758CDB-7583-43DB-8624-7BE509E5B73C}"/>
  <tableColumns count="5">
    <tableColumn id="7" xr3:uid="{1CCE27B5-2D19-488C-BBF3-E148F780129B}" name="Opérateur"/>
    <tableColumn id="1" xr3:uid="{2038B2D3-4750-4F84-9B14-0A9B159584A9}" name="NPM"/>
    <tableColumn id="3" xr3:uid="{2C661D88-3DF8-414F-8ACB-670E5418D0D4}" name="NTPP"/>
    <tableColumn id="4" xr3:uid="{251A8A31-B5C0-4D9C-80C0-7E08A83941D6}" name="HFP (h)"/>
    <tableColumn id="6" xr3:uid="{0B20F51F-2D89-46BD-B82E-10DF7BEF4266}" name="HFR (h)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4BC4E-0155-4CB2-AD58-6D5C27545E94}" name="tblCauses" displayName="tblCauses" ref="A1:B21" totalsRowShown="0">
  <autoFilter ref="A1:B21" xr:uid="{E084BC4E-0155-4CB2-AD58-6D5C27545E94}"/>
  <tableColumns count="2">
    <tableColumn id="1" xr3:uid="{D9347221-E4E6-48C7-B24A-F450E850AE23}" name="Cause"/>
    <tableColumn id="2" xr3:uid="{4C8751C1-A820-4217-B1E8-90029939C557}" name="Fréquence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66D2-D24C-438A-ACC7-7CFFF6E19617}">
  <sheetPr>
    <tabColor theme="5" tint="0.39997558519241921"/>
  </sheetPr>
  <dimension ref="A1:H17"/>
  <sheetViews>
    <sheetView zoomScaleNormal="100" workbookViewId="0">
      <selection activeCell="B3" sqref="B3"/>
    </sheetView>
  </sheetViews>
  <sheetFormatPr baseColWidth="10" defaultColWidth="8.7265625" defaultRowHeight="14.5" x14ac:dyDescent="0.35"/>
  <cols>
    <col min="1" max="1" width="7.90625" bestFit="1" customWidth="1"/>
    <col min="2" max="2" width="10.453125" bestFit="1" customWidth="1"/>
    <col min="3" max="3" width="12" bestFit="1" customWidth="1"/>
    <col min="4" max="4" width="9.6328125" bestFit="1" customWidth="1"/>
    <col min="5" max="5" width="8.08984375" bestFit="1" customWidth="1"/>
    <col min="6" max="6" width="9.453125" bestFit="1" customWidth="1"/>
    <col min="7" max="7" width="12" bestFit="1" customWidth="1"/>
    <col min="8" max="8" width="25.36328125" bestFit="1" customWidth="1"/>
  </cols>
  <sheetData>
    <row r="1" spans="1:8" ht="15" thickBot="1" x14ac:dyDescent="0.4">
      <c r="A1" s="3" t="s">
        <v>58</v>
      </c>
      <c r="B1" s="1" t="s">
        <v>0</v>
      </c>
      <c r="C1" s="2" t="s">
        <v>1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2</v>
      </c>
    </row>
    <row r="2" spans="1:8" ht="15.5" thickTop="1" thickBot="1" x14ac:dyDescent="0.4">
      <c r="A2" t="str">
        <f>tblProduction[[#This Row],[Semaine]] &amp;"-"&amp;tblProduction[[#This Row],[Opérateur]]</f>
        <v>W1-Op1</v>
      </c>
      <c r="B2" s="4" t="s">
        <v>3</v>
      </c>
      <c r="C2" s="5" t="s">
        <v>4</v>
      </c>
      <c r="D2" s="5">
        <v>40</v>
      </c>
      <c r="E2" s="5">
        <v>2</v>
      </c>
      <c r="F2" s="5">
        <v>120</v>
      </c>
      <c r="G2" s="5">
        <v>10</v>
      </c>
      <c r="H2" s="5">
        <v>5</v>
      </c>
    </row>
    <row r="3" spans="1:8" ht="15" thickTop="1" x14ac:dyDescent="0.35">
      <c r="A3" s="43" t="str">
        <f>tblProduction[[#This Row],[Semaine]] &amp;"-"&amp;tblProduction[[#This Row],[Opérateur]]</f>
        <v>W1-Op2</v>
      </c>
      <c r="B3" s="4" t="s">
        <v>3</v>
      </c>
      <c r="C3" s="9" t="s">
        <v>5</v>
      </c>
      <c r="D3" s="9">
        <v>40</v>
      </c>
      <c r="E3" s="9">
        <v>3</v>
      </c>
      <c r="F3" s="9">
        <v>120</v>
      </c>
      <c r="G3" s="9">
        <v>12</v>
      </c>
      <c r="H3" s="9">
        <v>6</v>
      </c>
    </row>
    <row r="4" spans="1:8" x14ac:dyDescent="0.35">
      <c r="A4" s="44" t="str">
        <f>tblProduction[[#This Row],[Semaine]] &amp;"-"&amp;tblProduction[[#This Row],[Opérateur]]</f>
        <v>W2-Op1</v>
      </c>
      <c r="B4" s="10" t="s">
        <v>6</v>
      </c>
      <c r="C4" s="11" t="s">
        <v>4</v>
      </c>
      <c r="D4" s="11">
        <v>40</v>
      </c>
      <c r="E4" s="11">
        <v>4</v>
      </c>
      <c r="F4" s="11">
        <v>120</v>
      </c>
      <c r="G4" s="11">
        <v>11</v>
      </c>
      <c r="H4" s="11">
        <v>5</v>
      </c>
    </row>
    <row r="5" spans="1:8" x14ac:dyDescent="0.35">
      <c r="A5" t="str">
        <f>tblProduction[[#This Row],[Semaine]] &amp;"-"&amp;tblProduction[[#This Row],[Opérateur]]</f>
        <v>W2-Op2</v>
      </c>
      <c r="B5" s="10" t="s">
        <v>6</v>
      </c>
      <c r="C5" s="12" t="s">
        <v>5</v>
      </c>
      <c r="D5" s="12">
        <v>40</v>
      </c>
      <c r="E5" s="12">
        <v>15</v>
      </c>
      <c r="F5" s="12">
        <v>120</v>
      </c>
      <c r="G5" s="12">
        <v>18</v>
      </c>
      <c r="H5" s="12">
        <v>8</v>
      </c>
    </row>
    <row r="6" spans="1:8" x14ac:dyDescent="0.35">
      <c r="A6" t="str">
        <f>tblProduction[[#This Row],[Semaine]] &amp;"-"&amp;tblProduction[[#This Row],[Opérateur]]</f>
        <v>W3-Op1</v>
      </c>
      <c r="B6" s="7" t="s">
        <v>7</v>
      </c>
      <c r="C6" s="8" t="s">
        <v>4</v>
      </c>
      <c r="D6" s="8">
        <v>40</v>
      </c>
      <c r="E6" s="8">
        <v>2</v>
      </c>
      <c r="F6" s="8">
        <v>120</v>
      </c>
      <c r="G6" s="8">
        <v>9</v>
      </c>
      <c r="H6" s="8">
        <v>4</v>
      </c>
    </row>
    <row r="7" spans="1:8" x14ac:dyDescent="0.35">
      <c r="A7" s="43" t="str">
        <f>tblProduction[[#This Row],[Semaine]] &amp;"-"&amp;tblProduction[[#This Row],[Opérateur]]</f>
        <v>W3-Op2</v>
      </c>
      <c r="B7" s="7" t="s">
        <v>7</v>
      </c>
      <c r="C7" s="9" t="s">
        <v>5</v>
      </c>
      <c r="D7" s="9">
        <v>40</v>
      </c>
      <c r="E7" s="9">
        <v>3</v>
      </c>
      <c r="F7" s="9">
        <v>120</v>
      </c>
      <c r="G7" s="9">
        <v>11</v>
      </c>
      <c r="H7" s="9">
        <v>5</v>
      </c>
    </row>
    <row r="8" spans="1:8" x14ac:dyDescent="0.35">
      <c r="A8" s="44" t="str">
        <f>tblProduction[[#This Row],[Semaine]] &amp;"-"&amp;tblProduction[[#This Row],[Opérateur]]</f>
        <v>W4-Op1</v>
      </c>
      <c r="B8" s="10" t="s">
        <v>8</v>
      </c>
      <c r="C8" s="11" t="s">
        <v>4</v>
      </c>
      <c r="D8" s="11">
        <v>40</v>
      </c>
      <c r="E8" s="11">
        <v>5</v>
      </c>
      <c r="F8" s="11">
        <v>120</v>
      </c>
      <c r="G8" s="11">
        <v>12</v>
      </c>
      <c r="H8" s="11">
        <v>6</v>
      </c>
    </row>
    <row r="9" spans="1:8" x14ac:dyDescent="0.35">
      <c r="A9" t="str">
        <f>tblProduction[[#This Row],[Semaine]] &amp;"-"&amp;tblProduction[[#This Row],[Opérateur]]</f>
        <v>W4-Op2</v>
      </c>
      <c r="B9" s="10" t="s">
        <v>8</v>
      </c>
      <c r="C9" s="6" t="s">
        <v>5</v>
      </c>
      <c r="D9" s="6">
        <v>40</v>
      </c>
      <c r="E9" s="6">
        <v>4</v>
      </c>
      <c r="F9" s="6">
        <v>120</v>
      </c>
      <c r="G9" s="6">
        <v>10</v>
      </c>
      <c r="H9" s="6">
        <v>5</v>
      </c>
    </row>
    <row r="10" spans="1:8" x14ac:dyDescent="0.35">
      <c r="A10" t="str">
        <f>tblProduction[[#This Row],[Semaine]] &amp;"-"&amp;tblProduction[[#This Row],[Opérateur]]</f>
        <v>W5-Op1</v>
      </c>
      <c r="B10" s="7" t="s">
        <v>9</v>
      </c>
      <c r="C10" s="8" t="s">
        <v>4</v>
      </c>
      <c r="D10" s="8">
        <v>40</v>
      </c>
      <c r="E10" s="8">
        <v>3</v>
      </c>
      <c r="F10" s="8">
        <v>120</v>
      </c>
      <c r="G10" s="8">
        <v>11</v>
      </c>
      <c r="H10" s="8">
        <v>5</v>
      </c>
    </row>
    <row r="11" spans="1:8" x14ac:dyDescent="0.35">
      <c r="A11" s="43" t="str">
        <f>tblProduction[[#This Row],[Semaine]] &amp;"-"&amp;tblProduction[[#This Row],[Opérateur]]</f>
        <v>W5-Op2</v>
      </c>
      <c r="B11" s="7" t="s">
        <v>9</v>
      </c>
      <c r="C11" s="9" t="s">
        <v>5</v>
      </c>
      <c r="D11" s="9">
        <v>40</v>
      </c>
      <c r="E11" s="9">
        <v>2</v>
      </c>
      <c r="F11" s="9">
        <v>120</v>
      </c>
      <c r="G11" s="9">
        <v>9</v>
      </c>
      <c r="H11" s="9">
        <v>4</v>
      </c>
    </row>
    <row r="12" spans="1:8" x14ac:dyDescent="0.35">
      <c r="A12" s="44" t="str">
        <f>tblProduction[[#This Row],[Semaine]] &amp;"-"&amp;tblProduction[[#This Row],[Opérateur]]</f>
        <v>W6-Op1</v>
      </c>
      <c r="B12" s="13" t="s">
        <v>10</v>
      </c>
      <c r="C12" s="12" t="s">
        <v>4</v>
      </c>
      <c r="D12" s="12">
        <v>40</v>
      </c>
      <c r="E12" s="12">
        <v>8</v>
      </c>
      <c r="F12" s="12">
        <v>120</v>
      </c>
      <c r="G12" s="12">
        <v>14</v>
      </c>
      <c r="H12" s="12">
        <v>10</v>
      </c>
    </row>
    <row r="13" spans="1:8" x14ac:dyDescent="0.35">
      <c r="A13" t="str">
        <f>tblProduction[[#This Row],[Semaine]] &amp;"-"&amp;tblProduction[[#This Row],[Opérateur]]</f>
        <v>W6-Op2</v>
      </c>
      <c r="B13" s="13" t="s">
        <v>10</v>
      </c>
      <c r="C13" s="12" t="s">
        <v>5</v>
      </c>
      <c r="D13" s="12">
        <v>40</v>
      </c>
      <c r="E13" s="12">
        <v>3</v>
      </c>
      <c r="F13" s="12">
        <v>120</v>
      </c>
      <c r="G13" s="12">
        <v>12</v>
      </c>
      <c r="H13" s="12">
        <v>5</v>
      </c>
    </row>
    <row r="14" spans="1:8" x14ac:dyDescent="0.35">
      <c r="A14" t="str">
        <f>tblProduction[[#This Row],[Semaine]] &amp;"-"&amp;tblProduction[[#This Row],[Opérateur]]</f>
        <v>W7-Op1</v>
      </c>
      <c r="B14" s="7" t="s">
        <v>11</v>
      </c>
      <c r="C14" s="8" t="s">
        <v>4</v>
      </c>
      <c r="D14" s="8">
        <v>40</v>
      </c>
      <c r="E14" s="8">
        <v>2</v>
      </c>
      <c r="F14" s="8">
        <v>120</v>
      </c>
      <c r="G14" s="8">
        <v>9</v>
      </c>
      <c r="H14" s="8">
        <v>4</v>
      </c>
    </row>
    <row r="15" spans="1:8" x14ac:dyDescent="0.35">
      <c r="A15" s="43" t="str">
        <f>tblProduction[[#This Row],[Semaine]] &amp;"-"&amp;tblProduction[[#This Row],[Opérateur]]</f>
        <v>W7-Op2</v>
      </c>
      <c r="B15" s="7" t="s">
        <v>11</v>
      </c>
      <c r="C15" s="9" t="s">
        <v>5</v>
      </c>
      <c r="D15" s="9">
        <v>40</v>
      </c>
      <c r="E15" s="9">
        <v>3</v>
      </c>
      <c r="F15" s="9">
        <v>120</v>
      </c>
      <c r="G15" s="9">
        <v>11</v>
      </c>
      <c r="H15" s="9">
        <v>5</v>
      </c>
    </row>
    <row r="16" spans="1:8" x14ac:dyDescent="0.35">
      <c r="A16" s="44" t="str">
        <f>tblProduction[[#This Row],[Semaine]] &amp;"-"&amp;tblProduction[[#This Row],[Opérateur]]</f>
        <v>W8-Op1</v>
      </c>
      <c r="B16" s="13" t="s">
        <v>12</v>
      </c>
      <c r="C16" s="12" t="s">
        <v>4</v>
      </c>
      <c r="D16" s="12">
        <v>40</v>
      </c>
      <c r="E16" s="12">
        <v>5</v>
      </c>
      <c r="F16" s="12">
        <v>120</v>
      </c>
      <c r="G16" s="12">
        <v>12</v>
      </c>
      <c r="H16" s="12">
        <v>6</v>
      </c>
    </row>
    <row r="17" spans="1:8" x14ac:dyDescent="0.35">
      <c r="A17" t="str">
        <f>tblProduction[[#This Row],[Semaine]] &amp;"-"&amp;tblProduction[[#This Row],[Opérateur]]</f>
        <v>W8-Op2</v>
      </c>
      <c r="B17" s="13" t="s">
        <v>12</v>
      </c>
      <c r="C17" s="12" t="s">
        <v>5</v>
      </c>
      <c r="D17" s="12">
        <v>40</v>
      </c>
      <c r="E17" s="12">
        <v>12</v>
      </c>
      <c r="F17" s="12">
        <v>120</v>
      </c>
      <c r="G17" s="12">
        <v>16</v>
      </c>
      <c r="H17" s="12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E6D4-30DC-4AC1-B3B9-3466260D2DF9}">
  <sheetPr>
    <tabColor theme="0" tint="-0.249977111117893"/>
  </sheetPr>
  <dimension ref="A1:E17"/>
  <sheetViews>
    <sheetView workbookViewId="0">
      <selection activeCell="G14" sqref="G14"/>
    </sheetView>
  </sheetViews>
  <sheetFormatPr baseColWidth="10" defaultColWidth="8.7265625" defaultRowHeight="14.5" x14ac:dyDescent="0.35"/>
  <cols>
    <col min="1" max="1" width="7.90625" bestFit="1" customWidth="1"/>
    <col min="2" max="2" width="10.453125" bestFit="1" customWidth="1"/>
    <col min="3" max="3" width="12" bestFit="1" customWidth="1"/>
    <col min="4" max="4" width="8.08984375" bestFit="1" customWidth="1"/>
    <col min="5" max="5" width="10" bestFit="1" customWidth="1"/>
  </cols>
  <sheetData>
    <row r="1" spans="1:5" ht="15" thickBot="1" x14ac:dyDescent="0.4">
      <c r="A1" s="42" t="s">
        <v>58</v>
      </c>
      <c r="B1" s="14" t="s">
        <v>0</v>
      </c>
      <c r="C1" s="15" t="s">
        <v>1</v>
      </c>
      <c r="D1" s="15" t="s">
        <v>17</v>
      </c>
      <c r="E1" s="15" t="s">
        <v>18</v>
      </c>
    </row>
    <row r="2" spans="1:5" ht="15.5" thickTop="1" thickBot="1" x14ac:dyDescent="0.4">
      <c r="A2" t="str">
        <f>tblPerformance[[#This Row],[Semaine]]&amp;"-"&amp;tblPerformance[[#This Row],[Opérateur]]</f>
        <v>W1-Op1</v>
      </c>
      <c r="B2" s="19" t="s">
        <v>3</v>
      </c>
      <c r="C2" s="20" t="s">
        <v>4</v>
      </c>
      <c r="D2" s="20">
        <v>1020</v>
      </c>
      <c r="E2" s="20">
        <v>30</v>
      </c>
    </row>
    <row r="3" spans="1:5" ht="15" thickTop="1" x14ac:dyDescent="0.35">
      <c r="A3" s="45" t="str">
        <f>tblPerformance[[#This Row],[Semaine]]&amp;"-"&amp;tblPerformance[[#This Row],[Opérateur]]</f>
        <v>W1-Op2</v>
      </c>
      <c r="B3" s="19" t="s">
        <v>3</v>
      </c>
      <c r="C3" s="21" t="s">
        <v>5</v>
      </c>
      <c r="D3" s="22">
        <v>1000</v>
      </c>
      <c r="E3" s="21">
        <v>30</v>
      </c>
    </row>
    <row r="4" spans="1:5" x14ac:dyDescent="0.35">
      <c r="A4" s="46" t="str">
        <f>tblPerformance[[#This Row],[Semaine]]&amp;"-"&amp;tblPerformance[[#This Row],[Opérateur]]</f>
        <v>W2-Op1</v>
      </c>
      <c r="B4" s="16" t="s">
        <v>6</v>
      </c>
      <c r="C4" s="17" t="s">
        <v>4</v>
      </c>
      <c r="D4" s="24">
        <v>990</v>
      </c>
      <c r="E4" s="17">
        <v>30</v>
      </c>
    </row>
    <row r="5" spans="1:5" x14ac:dyDescent="0.35">
      <c r="A5" t="str">
        <f>tblPerformance[[#This Row],[Semaine]]&amp;"-"&amp;tblPerformance[[#This Row],[Opérateur]]</f>
        <v>W2-Op2</v>
      </c>
      <c r="B5" s="16" t="s">
        <v>6</v>
      </c>
      <c r="C5" s="17" t="s">
        <v>5</v>
      </c>
      <c r="D5" s="24">
        <v>540</v>
      </c>
      <c r="E5" s="17">
        <v>30</v>
      </c>
    </row>
    <row r="6" spans="1:5" x14ac:dyDescent="0.35">
      <c r="A6" t="str">
        <f>tblPerformance[[#This Row],[Semaine]]&amp;"-"&amp;tblPerformance[[#This Row],[Opérateur]]</f>
        <v>W3-Op1</v>
      </c>
      <c r="B6" s="23" t="s">
        <v>7</v>
      </c>
      <c r="C6" s="21" t="s">
        <v>4</v>
      </c>
      <c r="D6" s="22">
        <v>1110</v>
      </c>
      <c r="E6" s="21">
        <v>30</v>
      </c>
    </row>
    <row r="7" spans="1:5" x14ac:dyDescent="0.35">
      <c r="A7" s="45" t="str">
        <f>tblPerformance[[#This Row],[Semaine]]&amp;"-"&amp;tblPerformance[[#This Row],[Opérateur]]</f>
        <v>W3-Op2</v>
      </c>
      <c r="B7" s="23" t="s">
        <v>7</v>
      </c>
      <c r="C7" s="21" t="s">
        <v>5</v>
      </c>
      <c r="D7" s="22">
        <v>1065</v>
      </c>
      <c r="E7" s="21">
        <v>30</v>
      </c>
    </row>
    <row r="8" spans="1:5" x14ac:dyDescent="0.35">
      <c r="A8" s="46" t="str">
        <f>tblPerformance[[#This Row],[Semaine]]&amp;"-"&amp;tblPerformance[[#This Row],[Opérateur]]</f>
        <v>W4-Op1</v>
      </c>
      <c r="B8" s="16" t="s">
        <v>8</v>
      </c>
      <c r="C8" s="17" t="s">
        <v>4</v>
      </c>
      <c r="D8" s="24">
        <v>980</v>
      </c>
      <c r="E8" s="17">
        <v>30</v>
      </c>
    </row>
    <row r="9" spans="1:5" x14ac:dyDescent="0.35">
      <c r="A9" t="str">
        <f>tblPerformance[[#This Row],[Semaine]]&amp;"-"&amp;tblPerformance[[#This Row],[Opérateur]]</f>
        <v>W4-Op2</v>
      </c>
      <c r="B9" s="16" t="s">
        <v>8</v>
      </c>
      <c r="C9" s="17" t="s">
        <v>5</v>
      </c>
      <c r="D9" s="24">
        <v>1020</v>
      </c>
      <c r="E9" s="17">
        <v>30</v>
      </c>
    </row>
    <row r="10" spans="1:5" x14ac:dyDescent="0.35">
      <c r="A10" t="str">
        <f>tblPerformance[[#This Row],[Semaine]]&amp;"-"&amp;tblPerformance[[#This Row],[Opérateur]]</f>
        <v>W5-Op1</v>
      </c>
      <c r="B10" s="23" t="s">
        <v>9</v>
      </c>
      <c r="C10" s="21" t="s">
        <v>4</v>
      </c>
      <c r="D10" s="22">
        <v>1060</v>
      </c>
      <c r="E10" s="21">
        <v>30</v>
      </c>
    </row>
    <row r="11" spans="1:5" x14ac:dyDescent="0.35">
      <c r="A11" s="45" t="str">
        <f>tblPerformance[[#This Row],[Semaine]]&amp;"-"&amp;tblPerformance[[#This Row],[Opérateur]]</f>
        <v>W5-Op2</v>
      </c>
      <c r="B11" s="23" t="s">
        <v>9</v>
      </c>
      <c r="C11" s="21" t="s">
        <v>5</v>
      </c>
      <c r="D11" s="22">
        <v>1100</v>
      </c>
      <c r="E11" s="21">
        <v>30</v>
      </c>
    </row>
    <row r="12" spans="1:5" x14ac:dyDescent="0.35">
      <c r="A12" s="46" t="str">
        <f>tblPerformance[[#This Row],[Semaine]]&amp;"-"&amp;tblPerformance[[#This Row],[Opérateur]]</f>
        <v>W6-Op1</v>
      </c>
      <c r="B12" s="16" t="s">
        <v>10</v>
      </c>
      <c r="C12" s="17" t="s">
        <v>4</v>
      </c>
      <c r="D12" s="24">
        <v>700</v>
      </c>
      <c r="E12" s="17">
        <v>30</v>
      </c>
    </row>
    <row r="13" spans="1:5" x14ac:dyDescent="0.35">
      <c r="A13" t="str">
        <f>tblPerformance[[#This Row],[Semaine]]&amp;"-"&amp;tblPerformance[[#This Row],[Opérateur]]</f>
        <v>W6-Op2</v>
      </c>
      <c r="B13" s="16" t="s">
        <v>10</v>
      </c>
      <c r="C13" s="17" t="s">
        <v>5</v>
      </c>
      <c r="D13" s="24">
        <v>1040</v>
      </c>
      <c r="E13" s="17">
        <v>30</v>
      </c>
    </row>
    <row r="14" spans="1:5" x14ac:dyDescent="0.35">
      <c r="A14" t="str">
        <f>tblPerformance[[#This Row],[Semaine]]&amp;"-"&amp;tblPerformance[[#This Row],[Opérateur]]</f>
        <v>W7-Op1</v>
      </c>
      <c r="B14" s="23" t="s">
        <v>11</v>
      </c>
      <c r="C14" s="21" t="s">
        <v>4</v>
      </c>
      <c r="D14" s="22">
        <v>1105</v>
      </c>
      <c r="E14" s="21">
        <v>30</v>
      </c>
    </row>
    <row r="15" spans="1:5" x14ac:dyDescent="0.35">
      <c r="A15" s="45" t="str">
        <f>tblPerformance[[#This Row],[Semaine]]&amp;"-"&amp;tblPerformance[[#This Row],[Opérateur]]</f>
        <v>W7-Op2</v>
      </c>
      <c r="B15" s="23" t="s">
        <v>11</v>
      </c>
      <c r="C15" s="21" t="s">
        <v>5</v>
      </c>
      <c r="D15" s="22">
        <v>1065</v>
      </c>
      <c r="E15" s="21">
        <v>30</v>
      </c>
    </row>
    <row r="16" spans="1:5" x14ac:dyDescent="0.35">
      <c r="A16" s="46" t="str">
        <f>tblPerformance[[#This Row],[Semaine]]&amp;"-"&amp;tblPerformance[[#This Row],[Opérateur]]</f>
        <v>W8-Op1</v>
      </c>
      <c r="B16" s="16" t="s">
        <v>12</v>
      </c>
      <c r="C16" s="17" t="s">
        <v>4</v>
      </c>
      <c r="D16" s="24">
        <v>1000</v>
      </c>
      <c r="E16" s="17">
        <v>30</v>
      </c>
    </row>
    <row r="17" spans="1:5" x14ac:dyDescent="0.35">
      <c r="A17" t="str">
        <f>tblPerformance[[#This Row],[Semaine]]&amp;"-"&amp;tblPerformance[[#This Row],[Opérateur]]</f>
        <v>W8-Op2</v>
      </c>
      <c r="B17" s="16" t="s">
        <v>12</v>
      </c>
      <c r="C17" s="17" t="s">
        <v>5</v>
      </c>
      <c r="D17" s="24">
        <v>620</v>
      </c>
      <c r="E17" s="17">
        <v>30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5CC31-DDD2-4C02-AFDA-81FF29929A20}">
  <sheetPr>
    <tabColor rgb="FF7E36B4"/>
  </sheetPr>
  <dimension ref="A1:E17"/>
  <sheetViews>
    <sheetView workbookViewId="0">
      <selection activeCell="E5" sqref="E5"/>
    </sheetView>
  </sheetViews>
  <sheetFormatPr baseColWidth="10" defaultColWidth="8.7265625" defaultRowHeight="14.5" x14ac:dyDescent="0.35"/>
  <cols>
    <col min="1" max="1" width="7.90625" bestFit="1" customWidth="1"/>
    <col min="2" max="2" width="10.453125" bestFit="1" customWidth="1"/>
    <col min="3" max="3" width="12" bestFit="1" customWidth="1"/>
    <col min="4" max="4" width="15.453125" bestFit="1" customWidth="1"/>
    <col min="5" max="5" width="12.08984375" bestFit="1" customWidth="1"/>
  </cols>
  <sheetData>
    <row r="1" spans="1:5" x14ac:dyDescent="0.35">
      <c r="A1" s="26" t="s">
        <v>58</v>
      </c>
      <c r="B1" s="26" t="s">
        <v>0</v>
      </c>
      <c r="C1" s="26" t="s">
        <v>1</v>
      </c>
      <c r="D1" s="26" t="s">
        <v>19</v>
      </c>
      <c r="E1" s="26" t="s">
        <v>20</v>
      </c>
    </row>
    <row r="2" spans="1:5" x14ac:dyDescent="0.35">
      <c r="A2" s="47" t="str">
        <f>tblQualité[[#This Row],[Semaine]]&amp;"-"&amp;tblQualité[[#This Row],[Opérateur]]</f>
        <v>W1-Op1</v>
      </c>
      <c r="B2" s="28" t="s">
        <v>3</v>
      </c>
      <c r="C2" s="28" t="s">
        <v>4</v>
      </c>
      <c r="D2" s="28">
        <v>20</v>
      </c>
      <c r="E2" s="28">
        <v>27</v>
      </c>
    </row>
    <row r="3" spans="1:5" x14ac:dyDescent="0.35">
      <c r="A3" s="47" t="str">
        <f>tblQualité[[#This Row],[Semaine]]&amp;"-"&amp;tblQualité[[#This Row],[Opérateur]]</f>
        <v>W1-Op2</v>
      </c>
      <c r="B3" s="28" t="s">
        <v>3</v>
      </c>
      <c r="C3" s="28" t="s">
        <v>5</v>
      </c>
      <c r="D3" s="28">
        <v>50</v>
      </c>
      <c r="E3" s="28">
        <v>20</v>
      </c>
    </row>
    <row r="4" spans="1:5" x14ac:dyDescent="0.35">
      <c r="A4" s="48" t="str">
        <f>tblQualité[[#This Row],[Semaine]]&amp;"-"&amp;tblQualité[[#This Row],[Opérateur]]</f>
        <v>W2-Op1</v>
      </c>
      <c r="B4" s="27" t="s">
        <v>6</v>
      </c>
      <c r="C4" s="27" t="s">
        <v>4</v>
      </c>
      <c r="D4" s="27">
        <v>30</v>
      </c>
      <c r="E4" s="27">
        <v>22</v>
      </c>
    </row>
    <row r="5" spans="1:5" x14ac:dyDescent="0.35">
      <c r="A5" s="48" t="str">
        <f>tblQualité[[#This Row],[Semaine]]&amp;"-"&amp;tblQualité[[#This Row],[Opérateur]]</f>
        <v>W2-Op2</v>
      </c>
      <c r="B5" s="27" t="s">
        <v>6</v>
      </c>
      <c r="C5" s="27" t="s">
        <v>5</v>
      </c>
      <c r="D5" s="27">
        <v>100</v>
      </c>
      <c r="E5" s="27">
        <v>60</v>
      </c>
    </row>
    <row r="6" spans="1:5" x14ac:dyDescent="0.35">
      <c r="A6" s="47" t="str">
        <f>tblQualité[[#This Row],[Semaine]]&amp;"-"&amp;tblQualité[[#This Row],[Opérateur]]</f>
        <v>W3-Op1</v>
      </c>
      <c r="B6" s="28" t="s">
        <v>7</v>
      </c>
      <c r="C6" s="28" t="s">
        <v>4</v>
      </c>
      <c r="D6" s="28">
        <v>17</v>
      </c>
      <c r="E6" s="28">
        <v>20</v>
      </c>
    </row>
    <row r="7" spans="1:5" x14ac:dyDescent="0.35">
      <c r="A7" s="47" t="str">
        <f>tblQualité[[#This Row],[Semaine]]&amp;"-"&amp;tblQualité[[#This Row],[Opérateur]]</f>
        <v>W3-Op2</v>
      </c>
      <c r="B7" s="28" t="s">
        <v>7</v>
      </c>
      <c r="C7" s="28" t="s">
        <v>5</v>
      </c>
      <c r="D7" s="28">
        <v>60</v>
      </c>
      <c r="E7" s="28">
        <v>22</v>
      </c>
    </row>
    <row r="8" spans="1:5" x14ac:dyDescent="0.35">
      <c r="A8" s="48" t="str">
        <f>tblQualité[[#This Row],[Semaine]]&amp;"-"&amp;tblQualité[[#This Row],[Opérateur]]</f>
        <v>W4-Op1</v>
      </c>
      <c r="B8" s="27" t="s">
        <v>8</v>
      </c>
      <c r="C8" s="27" t="s">
        <v>4</v>
      </c>
      <c r="D8" s="27">
        <v>20</v>
      </c>
      <c r="E8" s="27">
        <v>22</v>
      </c>
    </row>
    <row r="9" spans="1:5" x14ac:dyDescent="0.35">
      <c r="A9" s="48" t="str">
        <f>tblQualité[[#This Row],[Semaine]]&amp;"-"&amp;tblQualité[[#This Row],[Opérateur]]</f>
        <v>W4-Op2</v>
      </c>
      <c r="B9" s="27" t="s">
        <v>8</v>
      </c>
      <c r="C9" s="27" t="s">
        <v>5</v>
      </c>
      <c r="D9" s="27">
        <v>60</v>
      </c>
      <c r="E9" s="27">
        <v>20</v>
      </c>
    </row>
    <row r="10" spans="1:5" x14ac:dyDescent="0.35">
      <c r="A10" s="47" t="str">
        <f>tblQualité[[#This Row],[Semaine]]&amp;"-"&amp;tblQualité[[#This Row],[Opérateur]]</f>
        <v>W5-Op1</v>
      </c>
      <c r="B10" s="28" t="s">
        <v>9</v>
      </c>
      <c r="C10" s="28" t="s">
        <v>4</v>
      </c>
      <c r="D10" s="28">
        <v>70</v>
      </c>
      <c r="E10" s="28">
        <v>30</v>
      </c>
    </row>
    <row r="11" spans="1:5" x14ac:dyDescent="0.35">
      <c r="A11" s="47" t="str">
        <f>tblQualité[[#This Row],[Semaine]]&amp;"-"&amp;tblQualité[[#This Row],[Opérateur]]</f>
        <v>W5-Op2</v>
      </c>
      <c r="B11" s="28" t="s">
        <v>9</v>
      </c>
      <c r="C11" s="28" t="s">
        <v>5</v>
      </c>
      <c r="D11" s="28">
        <v>20</v>
      </c>
      <c r="E11" s="28">
        <v>27</v>
      </c>
    </row>
    <row r="12" spans="1:5" x14ac:dyDescent="0.35">
      <c r="A12" s="48" t="str">
        <f>tblQualité[[#This Row],[Semaine]]&amp;"-"&amp;tblQualité[[#This Row],[Opérateur]]</f>
        <v>W6-Op1</v>
      </c>
      <c r="B12" s="27" t="s">
        <v>10</v>
      </c>
      <c r="C12" s="27" t="s">
        <v>4</v>
      </c>
      <c r="D12" s="27">
        <v>80</v>
      </c>
      <c r="E12" s="27">
        <v>40</v>
      </c>
    </row>
    <row r="13" spans="1:5" x14ac:dyDescent="0.35">
      <c r="A13" s="48" t="str">
        <f>tblQualité[[#This Row],[Semaine]]&amp;"-"&amp;tblQualité[[#This Row],[Opérateur]]</f>
        <v>W6-Op2</v>
      </c>
      <c r="B13" s="27" t="s">
        <v>10</v>
      </c>
      <c r="C13" s="27" t="s">
        <v>5</v>
      </c>
      <c r="D13" s="27">
        <v>30</v>
      </c>
      <c r="E13" s="27">
        <v>22</v>
      </c>
    </row>
    <row r="14" spans="1:5" x14ac:dyDescent="0.35">
      <c r="A14" s="47" t="str">
        <f>tblQualité[[#This Row],[Semaine]]&amp;"-"&amp;tblQualité[[#This Row],[Opérateur]]</f>
        <v>W7-Op1</v>
      </c>
      <c r="B14" s="28" t="s">
        <v>11</v>
      </c>
      <c r="C14" s="28" t="s">
        <v>4</v>
      </c>
      <c r="D14" s="28">
        <v>20</v>
      </c>
      <c r="E14" s="28">
        <v>27</v>
      </c>
    </row>
    <row r="15" spans="1:5" x14ac:dyDescent="0.35">
      <c r="A15" s="47" t="str">
        <f>tblQualité[[#This Row],[Semaine]]&amp;"-"&amp;tblQualité[[#This Row],[Opérateur]]</f>
        <v>W7-Op2</v>
      </c>
      <c r="B15" s="28" t="s">
        <v>11</v>
      </c>
      <c r="C15" s="28" t="s">
        <v>5</v>
      </c>
      <c r="D15" s="28">
        <v>30</v>
      </c>
      <c r="E15" s="28">
        <v>27</v>
      </c>
    </row>
    <row r="16" spans="1:5" x14ac:dyDescent="0.35">
      <c r="A16" s="48" t="str">
        <f>tblQualité[[#This Row],[Semaine]]&amp;"-"&amp;tblQualité[[#This Row],[Opérateur]]</f>
        <v>W8-Op1</v>
      </c>
      <c r="B16" s="27" t="s">
        <v>12</v>
      </c>
      <c r="C16" s="27" t="s">
        <v>4</v>
      </c>
      <c r="D16" s="27">
        <v>40</v>
      </c>
      <c r="E16" s="27">
        <v>22</v>
      </c>
    </row>
    <row r="17" spans="1:5" x14ac:dyDescent="0.35">
      <c r="A17" s="48" t="str">
        <f>tblQualité[[#This Row],[Semaine]]&amp;"-"&amp;tblQualité[[#This Row],[Opérateur]]</f>
        <v>W8-Op2</v>
      </c>
      <c r="B17" s="27" t="s">
        <v>12</v>
      </c>
      <c r="C17" s="27" t="s">
        <v>5</v>
      </c>
      <c r="D17" s="27">
        <v>95</v>
      </c>
      <c r="E17" s="27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B964-74E2-4AD1-B757-8D36787A4AFB}">
  <sheetPr>
    <tabColor theme="9" tint="0.39997558519241921"/>
  </sheetPr>
  <dimension ref="A1:F49"/>
  <sheetViews>
    <sheetView topLeftCell="B1" workbookViewId="0">
      <selection activeCell="F38" sqref="F38"/>
    </sheetView>
  </sheetViews>
  <sheetFormatPr baseColWidth="10" defaultColWidth="8.7265625" defaultRowHeight="14.5" x14ac:dyDescent="0.35"/>
  <cols>
    <col min="1" max="1" width="7.90625" bestFit="1" customWidth="1"/>
    <col min="2" max="2" width="10.453125" bestFit="1" customWidth="1"/>
    <col min="3" max="3" width="12" bestFit="1" customWidth="1"/>
    <col min="4" max="4" width="18.453125" bestFit="1" customWidth="1"/>
    <col min="5" max="5" width="15.453125" bestFit="1" customWidth="1"/>
    <col min="6" max="6" width="12.08984375" bestFit="1" customWidth="1"/>
  </cols>
  <sheetData>
    <row r="1" spans="1:6" x14ac:dyDescent="0.35">
      <c r="A1" s="49" t="s">
        <v>58</v>
      </c>
      <c r="B1" s="54" t="s">
        <v>0</v>
      </c>
      <c r="C1" s="55" t="s">
        <v>1</v>
      </c>
      <c r="D1" s="55" t="s">
        <v>21</v>
      </c>
      <c r="E1" s="55" t="s">
        <v>19</v>
      </c>
      <c r="F1" s="49" t="s">
        <v>20</v>
      </c>
    </row>
    <row r="2" spans="1:6" x14ac:dyDescent="0.35">
      <c r="A2" s="51" t="str">
        <f>tblDéfauts[[#This Row],[Semaine]]&amp;"-"&amp;tblDéfauts[[#This Row],[Opérateur]]</f>
        <v>W1-Op1</v>
      </c>
      <c r="B2" s="29" t="s">
        <v>3</v>
      </c>
      <c r="C2" s="30" t="s">
        <v>4</v>
      </c>
      <c r="D2" s="31" t="s">
        <v>22</v>
      </c>
      <c r="E2" s="31">
        <v>5</v>
      </c>
      <c r="F2" s="31">
        <v>14</v>
      </c>
    </row>
    <row r="3" spans="1:6" x14ac:dyDescent="0.35">
      <c r="A3" s="51" t="str">
        <f>tblDéfauts[[#This Row],[Semaine]]&amp;"-"&amp;tblDéfauts[[#This Row],[Opérateur]]</f>
        <v>W1-Op1</v>
      </c>
      <c r="B3" s="29" t="s">
        <v>3</v>
      </c>
      <c r="C3" s="32" t="s">
        <v>4</v>
      </c>
      <c r="D3" s="33" t="s">
        <v>59</v>
      </c>
      <c r="E3" s="33">
        <v>10</v>
      </c>
      <c r="F3" s="33">
        <v>10</v>
      </c>
    </row>
    <row r="4" spans="1:6" x14ac:dyDescent="0.35">
      <c r="A4" s="51" t="str">
        <f>tblDéfauts[[#This Row],[Semaine]]&amp;"-"&amp;tblDéfauts[[#This Row],[Opérateur]]</f>
        <v>W1-Op1</v>
      </c>
      <c r="B4" s="50" t="s">
        <v>3</v>
      </c>
      <c r="C4" s="32" t="s">
        <v>4</v>
      </c>
      <c r="D4" s="33" t="s">
        <v>23</v>
      </c>
      <c r="E4" s="33">
        <v>5</v>
      </c>
      <c r="F4" s="33">
        <v>3</v>
      </c>
    </row>
    <row r="5" spans="1:6" x14ac:dyDescent="0.35">
      <c r="A5" s="51" t="str">
        <f>tblDéfauts[[#This Row],[Semaine]]&amp;"-"&amp;tblDéfauts[[#This Row],[Opérateur]]</f>
        <v>W1-Op2</v>
      </c>
      <c r="B5" s="29" t="s">
        <v>3</v>
      </c>
      <c r="C5" s="32" t="s">
        <v>5</v>
      </c>
      <c r="D5" s="33" t="s">
        <v>22</v>
      </c>
      <c r="E5" s="33">
        <v>12</v>
      </c>
      <c r="F5" s="33">
        <v>10</v>
      </c>
    </row>
    <row r="6" spans="1:6" x14ac:dyDescent="0.35">
      <c r="A6" s="51" t="str">
        <f>tblDéfauts[[#This Row],[Semaine]]&amp;"-"&amp;tblDéfauts[[#This Row],[Opérateur]]</f>
        <v>W1-Op2</v>
      </c>
      <c r="B6" s="29" t="s">
        <v>3</v>
      </c>
      <c r="C6" s="32" t="s">
        <v>5</v>
      </c>
      <c r="D6" s="33" t="s">
        <v>59</v>
      </c>
      <c r="E6" s="33">
        <v>25</v>
      </c>
      <c r="F6" s="33">
        <v>8</v>
      </c>
    </row>
    <row r="7" spans="1:6" x14ac:dyDescent="0.35">
      <c r="A7" s="51" t="str">
        <f>tblDéfauts[[#This Row],[Semaine]]&amp;"-"&amp;tblDéfauts[[#This Row],[Opérateur]]</f>
        <v>W1-Op2</v>
      </c>
      <c r="B7" s="29" t="s">
        <v>3</v>
      </c>
      <c r="C7" s="32" t="s">
        <v>5</v>
      </c>
      <c r="D7" s="33" t="s">
        <v>23</v>
      </c>
      <c r="E7" s="33">
        <v>13</v>
      </c>
      <c r="F7" s="33">
        <v>2</v>
      </c>
    </row>
    <row r="8" spans="1:6" x14ac:dyDescent="0.35">
      <c r="A8" s="53" t="str">
        <f>tblDéfauts[[#This Row],[Semaine]]&amp;"-"&amp;tblDéfauts[[#This Row],[Opérateur]]</f>
        <v>W2-Op1</v>
      </c>
      <c r="B8" s="34" t="s">
        <v>6</v>
      </c>
      <c r="C8" s="35" t="s">
        <v>4</v>
      </c>
      <c r="D8" s="36" t="s">
        <v>22</v>
      </c>
      <c r="E8" s="36">
        <v>8</v>
      </c>
      <c r="F8" s="36">
        <v>11</v>
      </c>
    </row>
    <row r="9" spans="1:6" x14ac:dyDescent="0.35">
      <c r="A9" s="53" t="str">
        <f>tblDéfauts[[#This Row],[Semaine]]&amp;"-"&amp;tblDéfauts[[#This Row],[Opérateur]]</f>
        <v>W2-Op1</v>
      </c>
      <c r="B9" s="52" t="s">
        <v>6</v>
      </c>
      <c r="C9" s="35" t="s">
        <v>4</v>
      </c>
      <c r="D9" s="18" t="s">
        <v>59</v>
      </c>
      <c r="E9" s="36">
        <v>15</v>
      </c>
      <c r="F9" s="36">
        <v>8</v>
      </c>
    </row>
    <row r="10" spans="1:6" x14ac:dyDescent="0.35">
      <c r="A10" s="53" t="str">
        <f>tblDéfauts[[#This Row],[Semaine]]&amp;"-"&amp;tblDéfauts[[#This Row],[Opérateur]]</f>
        <v>W2-Op1</v>
      </c>
      <c r="B10" s="34" t="s">
        <v>6</v>
      </c>
      <c r="C10" s="35" t="s">
        <v>4</v>
      </c>
      <c r="D10" s="36" t="s">
        <v>23</v>
      </c>
      <c r="E10" s="36">
        <v>7</v>
      </c>
      <c r="F10" s="36">
        <v>3</v>
      </c>
    </row>
    <row r="11" spans="1:6" x14ac:dyDescent="0.35">
      <c r="A11" s="53" t="str">
        <f>tblDéfauts[[#This Row],[Semaine]]&amp;"-"&amp;tblDéfauts[[#This Row],[Opérateur]]</f>
        <v>W2-Op2</v>
      </c>
      <c r="B11" s="34" t="s">
        <v>6</v>
      </c>
      <c r="C11" s="35" t="s">
        <v>5</v>
      </c>
      <c r="D11" s="36" t="s">
        <v>22</v>
      </c>
      <c r="E11" s="36">
        <v>25</v>
      </c>
      <c r="F11" s="36">
        <v>30</v>
      </c>
    </row>
    <row r="12" spans="1:6" x14ac:dyDescent="0.35">
      <c r="A12" s="53" t="str">
        <f>tblDéfauts[[#This Row],[Semaine]]&amp;"-"&amp;tblDéfauts[[#This Row],[Opérateur]]</f>
        <v>W2-Op2</v>
      </c>
      <c r="B12" s="34" t="s">
        <v>6</v>
      </c>
      <c r="C12" s="35" t="s">
        <v>5</v>
      </c>
      <c r="D12" s="36" t="s">
        <v>59</v>
      </c>
      <c r="E12" s="36">
        <v>50</v>
      </c>
      <c r="F12" s="36">
        <v>22</v>
      </c>
    </row>
    <row r="13" spans="1:6" x14ac:dyDescent="0.35">
      <c r="A13" s="53" t="str">
        <f>tblDéfauts[[#This Row],[Semaine]]&amp;"-"&amp;tblDéfauts[[#This Row],[Opérateur]]</f>
        <v>W2-Op2</v>
      </c>
      <c r="B13" s="34" t="s">
        <v>6</v>
      </c>
      <c r="C13" s="35" t="s">
        <v>5</v>
      </c>
      <c r="D13" s="36" t="s">
        <v>23</v>
      </c>
      <c r="E13" s="36">
        <v>25</v>
      </c>
      <c r="F13" s="36">
        <v>8</v>
      </c>
    </row>
    <row r="14" spans="1:6" x14ac:dyDescent="0.35">
      <c r="A14" s="51" t="str">
        <f>tblDéfauts[[#This Row],[Semaine]]&amp;"-"&amp;tblDéfauts[[#This Row],[Opérateur]]</f>
        <v>W3-Op1</v>
      </c>
      <c r="B14" s="29" t="s">
        <v>7</v>
      </c>
      <c r="C14" s="32" t="s">
        <v>4</v>
      </c>
      <c r="D14" s="33" t="s">
        <v>22</v>
      </c>
      <c r="E14" s="33">
        <v>4</v>
      </c>
      <c r="F14" s="33">
        <v>10</v>
      </c>
    </row>
    <row r="15" spans="1:6" x14ac:dyDescent="0.35">
      <c r="A15" s="51" t="str">
        <f>tblDéfauts[[#This Row],[Semaine]]&amp;"-"&amp;tblDéfauts[[#This Row],[Opérateur]]</f>
        <v>W3-Op1</v>
      </c>
      <c r="B15" s="29" t="s">
        <v>7</v>
      </c>
      <c r="C15" s="32" t="s">
        <v>4</v>
      </c>
      <c r="D15" s="33" t="s">
        <v>59</v>
      </c>
      <c r="E15" s="33">
        <v>8</v>
      </c>
      <c r="F15" s="33">
        <v>8</v>
      </c>
    </row>
    <row r="16" spans="1:6" x14ac:dyDescent="0.35">
      <c r="A16" s="51" t="str">
        <f>tblDéfauts[[#This Row],[Semaine]]&amp;"-"&amp;tblDéfauts[[#This Row],[Opérateur]]</f>
        <v>W3-Op1</v>
      </c>
      <c r="B16" s="29" t="s">
        <v>7</v>
      </c>
      <c r="C16" s="32" t="s">
        <v>4</v>
      </c>
      <c r="D16" s="33" t="s">
        <v>23</v>
      </c>
      <c r="E16" s="33">
        <v>5</v>
      </c>
      <c r="F16" s="33">
        <v>2</v>
      </c>
    </row>
    <row r="17" spans="1:6" x14ac:dyDescent="0.35">
      <c r="A17" s="51" t="str">
        <f>tblDéfauts[[#This Row],[Semaine]]&amp;"-"&amp;tblDéfauts[[#This Row],[Opérateur]]</f>
        <v>W3-Op2</v>
      </c>
      <c r="B17" s="29" t="s">
        <v>7</v>
      </c>
      <c r="C17" s="32" t="s">
        <v>5</v>
      </c>
      <c r="D17" s="33" t="s">
        <v>22</v>
      </c>
      <c r="E17" s="33">
        <v>15</v>
      </c>
      <c r="F17" s="33">
        <v>11</v>
      </c>
    </row>
    <row r="18" spans="1:6" x14ac:dyDescent="0.35">
      <c r="A18" s="51" t="str">
        <f>tblDéfauts[[#This Row],[Semaine]]&amp;"-"&amp;tblDéfauts[[#This Row],[Opérateur]]</f>
        <v>W3-Op2</v>
      </c>
      <c r="B18" s="29" t="s">
        <v>7</v>
      </c>
      <c r="C18" s="32" t="s">
        <v>5</v>
      </c>
      <c r="D18" s="33" t="s">
        <v>59</v>
      </c>
      <c r="E18" s="33">
        <v>30</v>
      </c>
      <c r="F18" s="33">
        <v>8</v>
      </c>
    </row>
    <row r="19" spans="1:6" x14ac:dyDescent="0.35">
      <c r="A19" s="51" t="str">
        <f>tblDéfauts[[#This Row],[Semaine]]&amp;"-"&amp;tblDéfauts[[#This Row],[Opérateur]]</f>
        <v>W3-Op2</v>
      </c>
      <c r="B19" s="29" t="s">
        <v>7</v>
      </c>
      <c r="C19" s="32" t="s">
        <v>5</v>
      </c>
      <c r="D19" s="33" t="s">
        <v>23</v>
      </c>
      <c r="E19" s="33">
        <v>15</v>
      </c>
      <c r="F19" s="33">
        <v>3</v>
      </c>
    </row>
    <row r="20" spans="1:6" x14ac:dyDescent="0.35">
      <c r="A20" s="53" t="str">
        <f>tblDéfauts[[#This Row],[Semaine]]&amp;"-"&amp;tblDéfauts[[#This Row],[Opérateur]]</f>
        <v>W4-Op1</v>
      </c>
      <c r="B20" s="34" t="s">
        <v>8</v>
      </c>
      <c r="C20" s="35" t="s">
        <v>4</v>
      </c>
      <c r="D20" s="36" t="s">
        <v>22</v>
      </c>
      <c r="E20" s="36">
        <v>5</v>
      </c>
      <c r="F20" s="36">
        <v>11</v>
      </c>
    </row>
    <row r="21" spans="1:6" x14ac:dyDescent="0.35">
      <c r="A21" s="53" t="str">
        <f>tblDéfauts[[#This Row],[Semaine]]&amp;"-"&amp;tblDéfauts[[#This Row],[Opérateur]]</f>
        <v>W4-Op1</v>
      </c>
      <c r="B21" s="34" t="s">
        <v>8</v>
      </c>
      <c r="C21" s="35" t="s">
        <v>4</v>
      </c>
      <c r="D21" s="18" t="s">
        <v>59</v>
      </c>
      <c r="E21" s="36">
        <v>10</v>
      </c>
      <c r="F21" s="36">
        <v>8</v>
      </c>
    </row>
    <row r="22" spans="1:6" x14ac:dyDescent="0.35">
      <c r="A22" s="53" t="str">
        <f>tblDéfauts[[#This Row],[Semaine]]&amp;"-"&amp;tblDéfauts[[#This Row],[Opérateur]]</f>
        <v>W4-Op1</v>
      </c>
      <c r="B22" s="34" t="s">
        <v>8</v>
      </c>
      <c r="C22" s="35" t="s">
        <v>4</v>
      </c>
      <c r="D22" s="36" t="s">
        <v>23</v>
      </c>
      <c r="E22" s="36">
        <v>5</v>
      </c>
      <c r="F22" s="36">
        <v>3</v>
      </c>
    </row>
    <row r="23" spans="1:6" x14ac:dyDescent="0.35">
      <c r="A23" s="53" t="str">
        <f>tblDéfauts[[#This Row],[Semaine]]&amp;"-"&amp;tblDéfauts[[#This Row],[Opérateur]]</f>
        <v>W4-Op2</v>
      </c>
      <c r="B23" s="34" t="s">
        <v>8</v>
      </c>
      <c r="C23" s="35" t="s">
        <v>5</v>
      </c>
      <c r="D23" s="36" t="s">
        <v>22</v>
      </c>
      <c r="E23" s="36">
        <v>15</v>
      </c>
      <c r="F23" s="36">
        <v>10</v>
      </c>
    </row>
    <row r="24" spans="1:6" x14ac:dyDescent="0.35">
      <c r="A24" s="53" t="str">
        <f>tblDéfauts[[#This Row],[Semaine]]&amp;"-"&amp;tblDéfauts[[#This Row],[Opérateur]]</f>
        <v>W4-Op2</v>
      </c>
      <c r="B24" s="34" t="s">
        <v>8</v>
      </c>
      <c r="C24" s="35" t="s">
        <v>5</v>
      </c>
      <c r="D24" s="36" t="s">
        <v>59</v>
      </c>
      <c r="E24" s="36">
        <v>30</v>
      </c>
      <c r="F24" s="36">
        <v>8</v>
      </c>
    </row>
    <row r="25" spans="1:6" x14ac:dyDescent="0.35">
      <c r="A25" s="53" t="str">
        <f>tblDéfauts[[#This Row],[Semaine]]&amp;"-"&amp;tblDéfauts[[#This Row],[Opérateur]]</f>
        <v>W4-Op2</v>
      </c>
      <c r="B25" s="34" t="s">
        <v>8</v>
      </c>
      <c r="C25" s="35" t="s">
        <v>5</v>
      </c>
      <c r="D25" s="36" t="s">
        <v>23</v>
      </c>
      <c r="E25" s="36">
        <v>15</v>
      </c>
      <c r="F25" s="36">
        <v>2</v>
      </c>
    </row>
    <row r="26" spans="1:6" x14ac:dyDescent="0.35">
      <c r="A26" s="51" t="str">
        <f>tblDéfauts[[#This Row],[Semaine]]&amp;"-"&amp;tblDéfauts[[#This Row],[Opérateur]]</f>
        <v>W5-Op1</v>
      </c>
      <c r="B26" s="29" t="s">
        <v>9</v>
      </c>
      <c r="C26" s="32" t="s">
        <v>4</v>
      </c>
      <c r="D26" s="33" t="s">
        <v>22</v>
      </c>
      <c r="E26" s="33">
        <v>18</v>
      </c>
      <c r="F26" s="33">
        <v>15</v>
      </c>
    </row>
    <row r="27" spans="1:6" x14ac:dyDescent="0.35">
      <c r="A27" s="51" t="str">
        <f>tblDéfauts[[#This Row],[Semaine]]&amp;"-"&amp;tblDéfauts[[#This Row],[Opérateur]]</f>
        <v>W5-Op1</v>
      </c>
      <c r="B27" s="29" t="s">
        <v>9</v>
      </c>
      <c r="C27" s="32" t="s">
        <v>4</v>
      </c>
      <c r="D27" s="33" t="s">
        <v>59</v>
      </c>
      <c r="E27" s="33">
        <v>35</v>
      </c>
      <c r="F27" s="33">
        <v>11</v>
      </c>
    </row>
    <row r="28" spans="1:6" x14ac:dyDescent="0.35">
      <c r="A28" s="51" t="str">
        <f>tblDéfauts[[#This Row],[Semaine]]&amp;"-"&amp;tblDéfauts[[#This Row],[Opérateur]]</f>
        <v>W5-Op1</v>
      </c>
      <c r="B28" s="29" t="s">
        <v>9</v>
      </c>
      <c r="C28" s="32" t="s">
        <v>4</v>
      </c>
      <c r="D28" s="33" t="s">
        <v>23</v>
      </c>
      <c r="E28" s="33">
        <v>17</v>
      </c>
      <c r="F28" s="33">
        <v>4</v>
      </c>
    </row>
    <row r="29" spans="1:6" x14ac:dyDescent="0.35">
      <c r="A29" s="51" t="str">
        <f>tblDéfauts[[#This Row],[Semaine]]&amp;"-"&amp;tblDéfauts[[#This Row],[Opérateur]]</f>
        <v>W5-Op2</v>
      </c>
      <c r="B29" s="29" t="s">
        <v>9</v>
      </c>
      <c r="C29" s="32" t="s">
        <v>5</v>
      </c>
      <c r="D29" s="33" t="s">
        <v>22</v>
      </c>
      <c r="E29" s="33">
        <v>5</v>
      </c>
      <c r="F29" s="33">
        <v>14</v>
      </c>
    </row>
    <row r="30" spans="1:6" x14ac:dyDescent="0.35">
      <c r="A30" s="51" t="str">
        <f>tblDéfauts[[#This Row],[Semaine]]&amp;"-"&amp;tblDéfauts[[#This Row],[Opérateur]]</f>
        <v>W5-Op2</v>
      </c>
      <c r="B30" s="29" t="s">
        <v>9</v>
      </c>
      <c r="C30" s="32" t="s">
        <v>5</v>
      </c>
      <c r="D30" s="33" t="s">
        <v>59</v>
      </c>
      <c r="E30" s="33">
        <v>10</v>
      </c>
      <c r="F30" s="33">
        <v>10</v>
      </c>
    </row>
    <row r="31" spans="1:6" x14ac:dyDescent="0.35">
      <c r="A31" s="51" t="str">
        <f>tblDéfauts[[#This Row],[Semaine]]&amp;"-"&amp;tblDéfauts[[#This Row],[Opérateur]]</f>
        <v>W5-Op2</v>
      </c>
      <c r="B31" s="29" t="s">
        <v>9</v>
      </c>
      <c r="C31" s="32" t="s">
        <v>5</v>
      </c>
      <c r="D31" s="33" t="s">
        <v>23</v>
      </c>
      <c r="E31" s="33">
        <v>5</v>
      </c>
      <c r="F31" s="33">
        <v>3</v>
      </c>
    </row>
    <row r="32" spans="1:6" x14ac:dyDescent="0.35">
      <c r="A32" s="53" t="str">
        <f>tblDéfauts[[#This Row],[Semaine]]&amp;"-"&amp;tblDéfauts[[#This Row],[Opérateur]]</f>
        <v>W6-Op1</v>
      </c>
      <c r="B32" s="34" t="s">
        <v>10</v>
      </c>
      <c r="C32" s="35" t="s">
        <v>4</v>
      </c>
      <c r="D32" s="36" t="s">
        <v>22</v>
      </c>
      <c r="E32" s="36">
        <v>20</v>
      </c>
      <c r="F32" s="36">
        <v>20</v>
      </c>
    </row>
    <row r="33" spans="1:6" x14ac:dyDescent="0.35">
      <c r="A33" s="53" t="str">
        <f>tblDéfauts[[#This Row],[Semaine]]&amp;"-"&amp;tblDéfauts[[#This Row],[Opérateur]]</f>
        <v>W6-Op1</v>
      </c>
      <c r="B33" s="34" t="s">
        <v>10</v>
      </c>
      <c r="C33" s="35" t="s">
        <v>4</v>
      </c>
      <c r="D33" s="18" t="s">
        <v>59</v>
      </c>
      <c r="E33" s="36">
        <v>40</v>
      </c>
      <c r="F33" s="36">
        <v>15</v>
      </c>
    </row>
    <row r="34" spans="1:6" x14ac:dyDescent="0.35">
      <c r="A34" s="53" t="str">
        <f>tblDéfauts[[#This Row],[Semaine]]&amp;"-"&amp;tblDéfauts[[#This Row],[Opérateur]]</f>
        <v>W6-Op1</v>
      </c>
      <c r="B34" s="34" t="s">
        <v>10</v>
      </c>
      <c r="C34" s="35" t="s">
        <v>4</v>
      </c>
      <c r="D34" s="36" t="s">
        <v>23</v>
      </c>
      <c r="E34" s="36">
        <v>20</v>
      </c>
      <c r="F34" s="36">
        <v>5</v>
      </c>
    </row>
    <row r="35" spans="1:6" x14ac:dyDescent="0.35">
      <c r="A35" s="53" t="str">
        <f>tblDéfauts[[#This Row],[Semaine]]&amp;"-"&amp;tblDéfauts[[#This Row],[Opérateur]]</f>
        <v>W6-Op2</v>
      </c>
      <c r="B35" s="34" t="s">
        <v>10</v>
      </c>
      <c r="C35" s="35" t="s">
        <v>5</v>
      </c>
      <c r="D35" s="36" t="s">
        <v>22</v>
      </c>
      <c r="E35" s="36">
        <v>8</v>
      </c>
      <c r="F35" s="36">
        <v>11</v>
      </c>
    </row>
    <row r="36" spans="1:6" x14ac:dyDescent="0.35">
      <c r="A36" s="53" t="str">
        <f>tblDéfauts[[#This Row],[Semaine]]&amp;"-"&amp;tblDéfauts[[#This Row],[Opérateur]]</f>
        <v>W6-Op2</v>
      </c>
      <c r="B36" s="34" t="s">
        <v>10</v>
      </c>
      <c r="C36" s="35" t="s">
        <v>5</v>
      </c>
      <c r="D36" s="36" t="s">
        <v>59</v>
      </c>
      <c r="E36" s="36">
        <v>15</v>
      </c>
      <c r="F36" s="36">
        <v>8</v>
      </c>
    </row>
    <row r="37" spans="1:6" x14ac:dyDescent="0.35">
      <c r="A37" s="53" t="str">
        <f>tblDéfauts[[#This Row],[Semaine]]&amp;"-"&amp;tblDéfauts[[#This Row],[Opérateur]]</f>
        <v>W6-Op2</v>
      </c>
      <c r="B37" s="34" t="s">
        <v>10</v>
      </c>
      <c r="C37" s="35" t="s">
        <v>5</v>
      </c>
      <c r="D37" s="36" t="s">
        <v>23</v>
      </c>
      <c r="E37" s="36">
        <v>7</v>
      </c>
      <c r="F37" s="36">
        <v>3</v>
      </c>
    </row>
    <row r="38" spans="1:6" x14ac:dyDescent="0.35">
      <c r="A38" s="51" t="str">
        <f>tblDéfauts[[#This Row],[Semaine]]&amp;"-"&amp;tblDéfauts[[#This Row],[Opérateur]]</f>
        <v>W7-Op1</v>
      </c>
      <c r="B38" s="29" t="s">
        <v>11</v>
      </c>
      <c r="C38" s="32" t="s">
        <v>4</v>
      </c>
      <c r="D38" s="33" t="s">
        <v>22</v>
      </c>
      <c r="E38" s="33">
        <v>5</v>
      </c>
      <c r="F38" s="33">
        <v>14</v>
      </c>
    </row>
    <row r="39" spans="1:6" x14ac:dyDescent="0.35">
      <c r="A39" s="51" t="str">
        <f>tblDéfauts[[#This Row],[Semaine]]&amp;"-"&amp;tblDéfauts[[#This Row],[Opérateur]]</f>
        <v>W7-Op1</v>
      </c>
      <c r="B39" s="29" t="s">
        <v>11</v>
      </c>
      <c r="C39" s="32" t="s">
        <v>4</v>
      </c>
      <c r="D39" s="33" t="s">
        <v>59</v>
      </c>
      <c r="E39" s="33">
        <v>10</v>
      </c>
      <c r="F39" s="33">
        <v>10</v>
      </c>
    </row>
    <row r="40" spans="1:6" x14ac:dyDescent="0.35">
      <c r="A40" s="51" t="str">
        <f>tblDéfauts[[#This Row],[Semaine]]&amp;"-"&amp;tblDéfauts[[#This Row],[Opérateur]]</f>
        <v>W7-Op1</v>
      </c>
      <c r="B40" s="29" t="s">
        <v>11</v>
      </c>
      <c r="C40" s="32" t="s">
        <v>4</v>
      </c>
      <c r="D40" s="33" t="s">
        <v>23</v>
      </c>
      <c r="E40" s="33">
        <v>5</v>
      </c>
      <c r="F40" s="33">
        <v>3</v>
      </c>
    </row>
    <row r="41" spans="1:6" x14ac:dyDescent="0.35">
      <c r="A41" s="51" t="str">
        <f>tblDéfauts[[#This Row],[Semaine]]&amp;"-"&amp;tblDéfauts[[#This Row],[Opérateur]]</f>
        <v>W7-Op2</v>
      </c>
      <c r="B41" s="29" t="s">
        <v>11</v>
      </c>
      <c r="C41" s="32" t="s">
        <v>5</v>
      </c>
      <c r="D41" s="33" t="s">
        <v>22</v>
      </c>
      <c r="E41" s="33">
        <v>8</v>
      </c>
      <c r="F41" s="33">
        <v>14</v>
      </c>
    </row>
    <row r="42" spans="1:6" x14ac:dyDescent="0.35">
      <c r="A42" s="51" t="str">
        <f>tblDéfauts[[#This Row],[Semaine]]&amp;"-"&amp;tblDéfauts[[#This Row],[Opérateur]]</f>
        <v>W7-Op2</v>
      </c>
      <c r="B42" s="29" t="s">
        <v>11</v>
      </c>
      <c r="C42" s="32" t="s">
        <v>5</v>
      </c>
      <c r="D42" s="33" t="s">
        <v>59</v>
      </c>
      <c r="E42" s="33">
        <v>15</v>
      </c>
      <c r="F42" s="33">
        <v>10</v>
      </c>
    </row>
    <row r="43" spans="1:6" x14ac:dyDescent="0.35">
      <c r="A43" s="51" t="str">
        <f>tblDéfauts[[#This Row],[Semaine]]&amp;"-"&amp;tblDéfauts[[#This Row],[Opérateur]]</f>
        <v>W7-Op2</v>
      </c>
      <c r="B43" s="29" t="s">
        <v>11</v>
      </c>
      <c r="C43" s="32" t="s">
        <v>5</v>
      </c>
      <c r="D43" s="33" t="s">
        <v>23</v>
      </c>
      <c r="E43" s="33">
        <v>7</v>
      </c>
      <c r="F43" s="33">
        <v>3</v>
      </c>
    </row>
    <row r="44" spans="1:6" x14ac:dyDescent="0.35">
      <c r="A44" s="53" t="str">
        <f>tblDéfauts[[#This Row],[Semaine]]&amp;"-"&amp;tblDéfauts[[#This Row],[Opérateur]]</f>
        <v>W8-Op1</v>
      </c>
      <c r="B44" s="34" t="s">
        <v>12</v>
      </c>
      <c r="C44" s="35" t="s">
        <v>4</v>
      </c>
      <c r="D44" s="36" t="s">
        <v>22</v>
      </c>
      <c r="E44" s="36">
        <v>10</v>
      </c>
      <c r="F44" s="36">
        <v>11</v>
      </c>
    </row>
    <row r="45" spans="1:6" x14ac:dyDescent="0.35">
      <c r="A45" s="53" t="str">
        <f>tblDéfauts[[#This Row],[Semaine]]&amp;"-"&amp;tblDéfauts[[#This Row],[Opérateur]]</f>
        <v>W8-Op1</v>
      </c>
      <c r="B45" s="34" t="s">
        <v>12</v>
      </c>
      <c r="C45" s="35" t="s">
        <v>4</v>
      </c>
      <c r="D45" s="18" t="s">
        <v>59</v>
      </c>
      <c r="E45" s="36">
        <v>20</v>
      </c>
      <c r="F45" s="36">
        <v>8</v>
      </c>
    </row>
    <row r="46" spans="1:6" x14ac:dyDescent="0.35">
      <c r="A46" s="53" t="str">
        <f>tblDéfauts[[#This Row],[Semaine]]&amp;"-"&amp;tblDéfauts[[#This Row],[Opérateur]]</f>
        <v>W8-Op1</v>
      </c>
      <c r="B46" s="34" t="s">
        <v>12</v>
      </c>
      <c r="C46" s="35" t="s">
        <v>4</v>
      </c>
      <c r="D46" s="36" t="s">
        <v>23</v>
      </c>
      <c r="E46" s="36">
        <v>10</v>
      </c>
      <c r="F46" s="36">
        <v>3</v>
      </c>
    </row>
    <row r="47" spans="1:6" x14ac:dyDescent="0.35">
      <c r="A47" s="53" t="str">
        <f>tblDéfauts[[#This Row],[Semaine]]&amp;"-"&amp;tblDéfauts[[#This Row],[Opérateur]]</f>
        <v>W8-Op2</v>
      </c>
      <c r="B47" s="34" t="s">
        <v>12</v>
      </c>
      <c r="C47" s="35" t="s">
        <v>5</v>
      </c>
      <c r="D47" s="36" t="s">
        <v>22</v>
      </c>
      <c r="E47" s="36">
        <v>24</v>
      </c>
      <c r="F47" s="36">
        <v>25</v>
      </c>
    </row>
    <row r="48" spans="1:6" x14ac:dyDescent="0.35">
      <c r="A48" s="53" t="str">
        <f>tblDéfauts[[#This Row],[Semaine]]&amp;"-"&amp;tblDéfauts[[#This Row],[Opérateur]]</f>
        <v>W8-Op2</v>
      </c>
      <c r="B48" s="34" t="s">
        <v>12</v>
      </c>
      <c r="C48" s="35" t="s">
        <v>5</v>
      </c>
      <c r="D48" s="36" t="s">
        <v>59</v>
      </c>
      <c r="E48" s="36">
        <v>48</v>
      </c>
      <c r="F48" s="36">
        <v>19</v>
      </c>
    </row>
    <row r="49" spans="1:6" x14ac:dyDescent="0.35">
      <c r="A49" s="53" t="str">
        <f>tblDéfauts[[#This Row],[Semaine]]&amp;"-"&amp;tblDéfauts[[#This Row],[Opérateur]]</f>
        <v>W8-Op2</v>
      </c>
      <c r="B49" s="34" t="s">
        <v>12</v>
      </c>
      <c r="C49" s="35" t="s">
        <v>5</v>
      </c>
      <c r="D49" s="36" t="s">
        <v>23</v>
      </c>
      <c r="E49" s="36">
        <v>23</v>
      </c>
      <c r="F49" s="36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4824-0DB8-42C2-B67F-1AAA2F5FE5F8}">
  <sheetPr>
    <tabColor theme="7"/>
  </sheetPr>
  <dimension ref="A1:I33"/>
  <sheetViews>
    <sheetView topLeftCell="D1" zoomScale="82" workbookViewId="0">
      <selection activeCell="H4" sqref="H4"/>
    </sheetView>
  </sheetViews>
  <sheetFormatPr baseColWidth="10" defaultColWidth="8.7265625" defaultRowHeight="14.5" x14ac:dyDescent="0.35"/>
  <cols>
    <col min="1" max="1" width="7.90625" bestFit="1" customWidth="1"/>
    <col min="2" max="2" width="11.08984375" bestFit="1" customWidth="1"/>
    <col min="3" max="3" width="12.36328125" bestFit="1" customWidth="1"/>
    <col min="4" max="4" width="13.36328125" customWidth="1"/>
    <col min="5" max="5" width="14" bestFit="1" customWidth="1"/>
    <col min="6" max="6" width="10.08984375" bestFit="1" customWidth="1"/>
    <col min="7" max="7" width="16.6328125" bestFit="1" customWidth="1"/>
    <col min="8" max="8" width="14.36328125" customWidth="1"/>
    <col min="9" max="9" width="16.7265625" bestFit="1" customWidth="1"/>
    <col min="10" max="10" width="11.36328125" bestFit="1" customWidth="1"/>
    <col min="11" max="11" width="15.7265625" customWidth="1"/>
  </cols>
  <sheetData>
    <row r="1" spans="1:9" x14ac:dyDescent="0.35">
      <c r="A1" s="56" t="s">
        <v>58</v>
      </c>
      <c r="B1" s="56" t="s">
        <v>0</v>
      </c>
      <c r="C1" s="56" t="s">
        <v>1</v>
      </c>
      <c r="D1" s="56" t="s">
        <v>50</v>
      </c>
      <c r="E1" s="56" t="s">
        <v>51</v>
      </c>
      <c r="F1" s="56" t="s">
        <v>52</v>
      </c>
      <c r="G1" s="56" t="s">
        <v>53</v>
      </c>
      <c r="H1" s="56" t="s">
        <v>54</v>
      </c>
      <c r="I1" s="56" t="s">
        <v>57</v>
      </c>
    </row>
    <row r="2" spans="1:9" x14ac:dyDescent="0.35">
      <c r="A2" s="40" t="str">
        <f>tblDisponibilitéMatière[[#This Row],[Semaine]]&amp;"-"&amp;tblDisponibilitéMatière[[#This Row],[Opérateur]]</f>
        <v>W1-Op1</v>
      </c>
      <c r="B2" s="40" t="s">
        <v>3</v>
      </c>
      <c r="C2" s="40" t="s">
        <v>4</v>
      </c>
      <c r="D2" s="40" t="s">
        <v>55</v>
      </c>
      <c r="E2" s="40">
        <v>2000</v>
      </c>
      <c r="F2" s="40">
        <v>1800</v>
      </c>
      <c r="G2" s="40">
        <v>2040</v>
      </c>
      <c r="H2" s="40">
        <v>1760</v>
      </c>
      <c r="I2" s="40">
        <v>400</v>
      </c>
    </row>
    <row r="3" spans="1:9" x14ac:dyDescent="0.35">
      <c r="A3" s="40" t="str">
        <f>tblDisponibilitéMatière[[#This Row],[Semaine]]&amp;"-"&amp;tblDisponibilitéMatière[[#This Row],[Opérateur]]</f>
        <v>W1-Op1</v>
      </c>
      <c r="B3" s="40" t="s">
        <v>3</v>
      </c>
      <c r="C3" s="40" t="s">
        <v>4</v>
      </c>
      <c r="D3" s="40" t="s">
        <v>56</v>
      </c>
      <c r="E3" s="40">
        <v>2000</v>
      </c>
      <c r="F3" s="40">
        <v>1940</v>
      </c>
      <c r="G3" s="40">
        <v>2040</v>
      </c>
      <c r="H3" s="40">
        <v>1900</v>
      </c>
      <c r="I3" s="40">
        <v>400</v>
      </c>
    </row>
    <row r="4" spans="1:9" x14ac:dyDescent="0.35">
      <c r="A4" s="40" t="str">
        <f>tblDisponibilitéMatière[[#This Row],[Semaine]]&amp;"-"&amp;tblDisponibilitéMatière[[#This Row],[Opérateur]]</f>
        <v>W1-Op2</v>
      </c>
      <c r="B4" s="40" t="s">
        <v>3</v>
      </c>
      <c r="C4" s="40" t="s">
        <v>5</v>
      </c>
      <c r="D4" s="40" t="s">
        <v>55</v>
      </c>
      <c r="E4" s="40">
        <v>2000</v>
      </c>
      <c r="F4" s="40">
        <v>600</v>
      </c>
      <c r="G4" s="40">
        <v>2000</v>
      </c>
      <c r="H4" s="40">
        <v>600</v>
      </c>
      <c r="I4" s="40">
        <v>400</v>
      </c>
    </row>
    <row r="5" spans="1:9" x14ac:dyDescent="0.35">
      <c r="A5" s="40" t="str">
        <f>tblDisponibilitéMatière[[#This Row],[Semaine]]&amp;"-"&amp;tblDisponibilitéMatière[[#This Row],[Opérateur]]</f>
        <v>W1-Op2</v>
      </c>
      <c r="B5" s="40" t="s">
        <v>3</v>
      </c>
      <c r="C5" s="40" t="s">
        <v>5</v>
      </c>
      <c r="D5" s="40" t="s">
        <v>56</v>
      </c>
      <c r="E5" s="40">
        <v>2000</v>
      </c>
      <c r="F5" s="40">
        <v>700</v>
      </c>
      <c r="G5" s="40">
        <v>2000</v>
      </c>
      <c r="H5" s="40">
        <v>700</v>
      </c>
      <c r="I5" s="40">
        <v>400</v>
      </c>
    </row>
    <row r="6" spans="1:9" x14ac:dyDescent="0.35">
      <c r="A6" s="41" t="str">
        <f>tblDisponibilitéMatière[[#This Row],[Semaine]]&amp;"-"&amp;tblDisponibilitéMatière[[#This Row],[Opérateur]]</f>
        <v>W2-Op1</v>
      </c>
      <c r="B6" s="41" t="s">
        <v>6</v>
      </c>
      <c r="C6" s="41" t="s">
        <v>4</v>
      </c>
      <c r="D6" s="41" t="s">
        <v>55</v>
      </c>
      <c r="E6" s="41">
        <v>1760</v>
      </c>
      <c r="F6" s="41">
        <v>1000</v>
      </c>
      <c r="G6" s="41">
        <v>1980</v>
      </c>
      <c r="H6" s="41">
        <v>780</v>
      </c>
      <c r="I6" s="41">
        <v>400</v>
      </c>
    </row>
    <row r="7" spans="1:9" x14ac:dyDescent="0.35">
      <c r="A7" s="41" t="str">
        <f>tblDisponibilitéMatière[[#This Row],[Semaine]]&amp;"-"&amp;tblDisponibilitéMatière[[#This Row],[Opérateur]]</f>
        <v>W2-Op1</v>
      </c>
      <c r="B7" s="41" t="s">
        <v>6</v>
      </c>
      <c r="C7" s="41" t="s">
        <v>4</v>
      </c>
      <c r="D7" s="41" t="s">
        <v>56</v>
      </c>
      <c r="E7" s="41">
        <v>1900</v>
      </c>
      <c r="F7" s="41">
        <v>1000</v>
      </c>
      <c r="G7" s="41">
        <v>1980</v>
      </c>
      <c r="H7" s="41">
        <v>920</v>
      </c>
      <c r="I7" s="41">
        <v>400</v>
      </c>
    </row>
    <row r="8" spans="1:9" x14ac:dyDescent="0.35">
      <c r="A8" s="41" t="str">
        <f>tblDisponibilitéMatière[[#This Row],[Semaine]]&amp;"-"&amp;tblDisponibilitéMatière[[#This Row],[Opérateur]]</f>
        <v>W2-Op2</v>
      </c>
      <c r="B8" s="41" t="s">
        <v>6</v>
      </c>
      <c r="C8" s="41" t="s">
        <v>5</v>
      </c>
      <c r="D8" s="41" t="s">
        <v>55</v>
      </c>
      <c r="E8" s="41">
        <v>600</v>
      </c>
      <c r="F8" s="41">
        <v>300</v>
      </c>
      <c r="G8" s="41">
        <v>1080</v>
      </c>
      <c r="H8" s="41">
        <v>0</v>
      </c>
      <c r="I8" s="41">
        <v>400</v>
      </c>
    </row>
    <row r="9" spans="1:9" x14ac:dyDescent="0.35">
      <c r="A9" s="41" t="str">
        <f>tblDisponibilitéMatière[[#This Row],[Semaine]]&amp;"-"&amp;tblDisponibilitéMatière[[#This Row],[Opérateur]]</f>
        <v>W2-Op2</v>
      </c>
      <c r="B9" s="41" t="s">
        <v>6</v>
      </c>
      <c r="C9" s="41" t="s">
        <v>5</v>
      </c>
      <c r="D9" s="41" t="s">
        <v>56</v>
      </c>
      <c r="E9" s="41">
        <v>700</v>
      </c>
      <c r="F9" s="41">
        <v>300</v>
      </c>
      <c r="G9" s="41">
        <v>1080</v>
      </c>
      <c r="H9" s="41">
        <v>0</v>
      </c>
      <c r="I9" s="41">
        <v>400</v>
      </c>
    </row>
    <row r="10" spans="1:9" x14ac:dyDescent="0.35">
      <c r="A10" s="40" t="str">
        <f>tblDisponibilitéMatière[[#This Row],[Semaine]]&amp;"-"&amp;tblDisponibilitéMatière[[#This Row],[Opérateur]]</f>
        <v>W3-Op1</v>
      </c>
      <c r="B10" s="40" t="s">
        <v>7</v>
      </c>
      <c r="C10" s="40" t="s">
        <v>4</v>
      </c>
      <c r="D10" s="40" t="s">
        <v>55</v>
      </c>
      <c r="E10" s="40">
        <v>780</v>
      </c>
      <c r="F10" s="40">
        <v>2100</v>
      </c>
      <c r="G10" s="40">
        <v>2220</v>
      </c>
      <c r="H10" s="40">
        <v>660</v>
      </c>
      <c r="I10" s="40">
        <v>400</v>
      </c>
    </row>
    <row r="11" spans="1:9" x14ac:dyDescent="0.35">
      <c r="A11" s="40" t="str">
        <f>tblDisponibilitéMatière[[#This Row],[Semaine]]&amp;"-"&amp;tblDisponibilitéMatière[[#This Row],[Opérateur]]</f>
        <v>W3-Op1</v>
      </c>
      <c r="B11" s="40" t="s">
        <v>7</v>
      </c>
      <c r="C11" s="40" t="s">
        <v>4</v>
      </c>
      <c r="D11" s="40" t="s">
        <v>56</v>
      </c>
      <c r="E11" s="40">
        <v>920</v>
      </c>
      <c r="F11" s="40">
        <v>2100</v>
      </c>
      <c r="G11" s="40">
        <v>2220</v>
      </c>
      <c r="H11" s="40">
        <v>800</v>
      </c>
      <c r="I11" s="40">
        <v>400</v>
      </c>
    </row>
    <row r="12" spans="1:9" x14ac:dyDescent="0.35">
      <c r="A12" s="40" t="str">
        <f>tblDisponibilitéMatière[[#This Row],[Semaine]]&amp;"-"&amp;tblDisponibilitéMatière[[#This Row],[Opérateur]]</f>
        <v>W3-Op2</v>
      </c>
      <c r="B12" s="40" t="s">
        <v>7</v>
      </c>
      <c r="C12" s="40" t="s">
        <v>5</v>
      </c>
      <c r="D12" s="40" t="s">
        <v>55</v>
      </c>
      <c r="E12" s="40">
        <v>0</v>
      </c>
      <c r="F12" s="40">
        <v>2430</v>
      </c>
      <c r="G12" s="40">
        <v>2130</v>
      </c>
      <c r="H12" s="40">
        <v>300</v>
      </c>
      <c r="I12" s="40">
        <v>400</v>
      </c>
    </row>
    <row r="13" spans="1:9" x14ac:dyDescent="0.35">
      <c r="A13" s="40" t="str">
        <f>tblDisponibilitéMatière[[#This Row],[Semaine]]&amp;"-"&amp;tblDisponibilitéMatière[[#This Row],[Opérateur]]</f>
        <v>W3-Op2</v>
      </c>
      <c r="B13" s="40" t="s">
        <v>7</v>
      </c>
      <c r="C13" s="40" t="s">
        <v>5</v>
      </c>
      <c r="D13" s="40" t="s">
        <v>56</v>
      </c>
      <c r="E13" s="40">
        <v>0</v>
      </c>
      <c r="F13" s="40">
        <v>2540</v>
      </c>
      <c r="G13" s="40">
        <v>2130</v>
      </c>
      <c r="H13" s="40">
        <v>410</v>
      </c>
      <c r="I13" s="40">
        <v>400</v>
      </c>
    </row>
    <row r="14" spans="1:9" x14ac:dyDescent="0.35">
      <c r="A14" s="41" t="str">
        <f>tblDisponibilitéMatière[[#This Row],[Semaine]]&amp;"-"&amp;tblDisponibilitéMatière[[#This Row],[Opérateur]]</f>
        <v>W4-Op1</v>
      </c>
      <c r="B14" s="41" t="s">
        <v>8</v>
      </c>
      <c r="C14" s="41" t="s">
        <v>4</v>
      </c>
      <c r="D14" s="41" t="s">
        <v>55</v>
      </c>
      <c r="E14" s="41">
        <v>660</v>
      </c>
      <c r="F14" s="41">
        <v>2080</v>
      </c>
      <c r="G14" s="41">
        <v>1960</v>
      </c>
      <c r="H14" s="41">
        <v>780</v>
      </c>
      <c r="I14" s="41">
        <v>400</v>
      </c>
    </row>
    <row r="15" spans="1:9" x14ac:dyDescent="0.35">
      <c r="A15" s="41" t="str">
        <f>tblDisponibilitéMatière[[#This Row],[Semaine]]&amp;"-"&amp;tblDisponibilitéMatière[[#This Row],[Opérateur]]</f>
        <v>W4-Op1</v>
      </c>
      <c r="B15" s="41" t="s">
        <v>8</v>
      </c>
      <c r="C15" s="41" t="s">
        <v>4</v>
      </c>
      <c r="D15" s="41" t="s">
        <v>56</v>
      </c>
      <c r="E15" s="41">
        <v>800</v>
      </c>
      <c r="F15" s="41">
        <v>2080</v>
      </c>
      <c r="G15" s="41">
        <v>1960</v>
      </c>
      <c r="H15" s="41">
        <v>920</v>
      </c>
      <c r="I15" s="41">
        <v>400</v>
      </c>
    </row>
    <row r="16" spans="1:9" x14ac:dyDescent="0.35">
      <c r="A16" s="41" t="str">
        <f>tblDisponibilitéMatière[[#This Row],[Semaine]]&amp;"-"&amp;tblDisponibilitéMatière[[#This Row],[Opérateur]]</f>
        <v>W4-Op2</v>
      </c>
      <c r="B16" s="41" t="s">
        <v>8</v>
      </c>
      <c r="C16" s="41" t="s">
        <v>5</v>
      </c>
      <c r="D16" s="41" t="s">
        <v>55</v>
      </c>
      <c r="E16" s="41">
        <v>300</v>
      </c>
      <c r="F16" s="41">
        <v>1700</v>
      </c>
      <c r="G16" s="41">
        <v>2040</v>
      </c>
      <c r="H16" s="41">
        <v>0</v>
      </c>
      <c r="I16" s="41">
        <v>400</v>
      </c>
    </row>
    <row r="17" spans="1:9" x14ac:dyDescent="0.35">
      <c r="A17" s="41" t="str">
        <f>tblDisponibilitéMatière[[#This Row],[Semaine]]&amp;"-"&amp;tblDisponibilitéMatière[[#This Row],[Opérateur]]</f>
        <v>W4-Op2</v>
      </c>
      <c r="B17" s="41" t="s">
        <v>8</v>
      </c>
      <c r="C17" s="41" t="s">
        <v>5</v>
      </c>
      <c r="D17" s="41" t="s">
        <v>56</v>
      </c>
      <c r="E17" s="41">
        <v>410</v>
      </c>
      <c r="F17" s="41">
        <v>2400</v>
      </c>
      <c r="G17" s="41">
        <v>2040</v>
      </c>
      <c r="H17" s="41">
        <v>770</v>
      </c>
      <c r="I17" s="41">
        <v>400</v>
      </c>
    </row>
    <row r="18" spans="1:9" x14ac:dyDescent="0.35">
      <c r="A18" s="40" t="str">
        <f>tblDisponibilitéMatière[[#This Row],[Semaine]]&amp;"-"&amp;tblDisponibilitéMatière[[#This Row],[Opérateur]]</f>
        <v>W5-Op1</v>
      </c>
      <c r="B18" s="40" t="s">
        <v>9</v>
      </c>
      <c r="C18" s="40" t="s">
        <v>4</v>
      </c>
      <c r="D18" s="40" t="s">
        <v>55</v>
      </c>
      <c r="E18" s="40">
        <v>780</v>
      </c>
      <c r="F18" s="40">
        <v>1000</v>
      </c>
      <c r="G18" s="40">
        <v>2120</v>
      </c>
      <c r="H18" s="40">
        <v>0</v>
      </c>
      <c r="I18" s="40">
        <v>400</v>
      </c>
    </row>
    <row r="19" spans="1:9" x14ac:dyDescent="0.35">
      <c r="A19" s="40" t="str">
        <f>tblDisponibilitéMatière[[#This Row],[Semaine]]&amp;"-"&amp;tblDisponibilitéMatière[[#This Row],[Opérateur]]</f>
        <v>W5-Op1</v>
      </c>
      <c r="B19" s="40" t="s">
        <v>9</v>
      </c>
      <c r="C19" s="40" t="s">
        <v>4</v>
      </c>
      <c r="D19" s="40" t="s">
        <v>56</v>
      </c>
      <c r="E19" s="40">
        <v>920</v>
      </c>
      <c r="F19" s="40">
        <v>1000</v>
      </c>
      <c r="G19" s="40">
        <v>2120</v>
      </c>
      <c r="H19" s="40">
        <v>0</v>
      </c>
      <c r="I19" s="40">
        <v>400</v>
      </c>
    </row>
    <row r="20" spans="1:9" x14ac:dyDescent="0.35">
      <c r="A20" s="40" t="str">
        <f>tblDisponibilitéMatière[[#This Row],[Semaine]]&amp;"-"&amp;tblDisponibilitéMatière[[#This Row],[Opérateur]]</f>
        <v>W5-Op2</v>
      </c>
      <c r="B20" s="40" t="s">
        <v>9</v>
      </c>
      <c r="C20" s="40" t="s">
        <v>5</v>
      </c>
      <c r="D20" s="40" t="s">
        <v>55</v>
      </c>
      <c r="E20" s="40">
        <v>0</v>
      </c>
      <c r="F20" s="40">
        <v>2100</v>
      </c>
      <c r="G20" s="40">
        <v>2200</v>
      </c>
      <c r="H20" s="40">
        <v>0</v>
      </c>
      <c r="I20" s="40">
        <v>400</v>
      </c>
    </row>
    <row r="21" spans="1:9" x14ac:dyDescent="0.35">
      <c r="A21" s="40" t="str">
        <f>tblDisponibilitéMatière[[#This Row],[Semaine]]&amp;"-"&amp;tblDisponibilitéMatière[[#This Row],[Opérateur]]</f>
        <v>W5-Op2</v>
      </c>
      <c r="B21" s="40" t="s">
        <v>9</v>
      </c>
      <c r="C21" s="40" t="s">
        <v>5</v>
      </c>
      <c r="D21" s="40" t="s">
        <v>56</v>
      </c>
      <c r="E21" s="40">
        <v>770</v>
      </c>
      <c r="F21" s="40">
        <v>2200</v>
      </c>
      <c r="G21" s="40">
        <v>2200</v>
      </c>
      <c r="H21" s="40">
        <v>770</v>
      </c>
      <c r="I21" s="40">
        <v>400</v>
      </c>
    </row>
    <row r="22" spans="1:9" x14ac:dyDescent="0.35">
      <c r="A22" s="41" t="str">
        <f>tblDisponibilitéMatière[[#This Row],[Semaine]]&amp;"-"&amp;tblDisponibilitéMatière[[#This Row],[Opérateur]]</f>
        <v>W6-Op1</v>
      </c>
      <c r="B22" s="41" t="s">
        <v>10</v>
      </c>
      <c r="C22" s="41" t="s">
        <v>4</v>
      </c>
      <c r="D22" s="41" t="s">
        <v>55</v>
      </c>
      <c r="E22" s="41">
        <v>0</v>
      </c>
      <c r="F22" s="41">
        <v>1300</v>
      </c>
      <c r="G22" s="41">
        <v>1400</v>
      </c>
      <c r="H22" s="41">
        <v>0</v>
      </c>
      <c r="I22" s="41">
        <v>400</v>
      </c>
    </row>
    <row r="23" spans="1:9" x14ac:dyDescent="0.35">
      <c r="A23" s="41" t="str">
        <f>tblDisponibilitéMatière[[#This Row],[Semaine]]&amp;"-"&amp;tblDisponibilitéMatière[[#This Row],[Opérateur]]</f>
        <v>W6-Op1</v>
      </c>
      <c r="B23" s="41" t="s">
        <v>10</v>
      </c>
      <c r="C23" s="41" t="s">
        <v>4</v>
      </c>
      <c r="D23" s="41" t="s">
        <v>56</v>
      </c>
      <c r="E23" s="41">
        <v>0</v>
      </c>
      <c r="F23" s="41">
        <v>1350</v>
      </c>
      <c r="G23" s="41">
        <v>1400</v>
      </c>
      <c r="H23" s="41">
        <v>0</v>
      </c>
      <c r="I23" s="41">
        <v>400</v>
      </c>
    </row>
    <row r="24" spans="1:9" x14ac:dyDescent="0.35">
      <c r="A24" s="41" t="str">
        <f>tblDisponibilitéMatière[[#This Row],[Semaine]]&amp;"-"&amp;tblDisponibilitéMatière[[#This Row],[Opérateur]]</f>
        <v>W6-Op2</v>
      </c>
      <c r="B24" s="41" t="s">
        <v>10</v>
      </c>
      <c r="C24" s="41" t="s">
        <v>5</v>
      </c>
      <c r="D24" s="41" t="s">
        <v>55</v>
      </c>
      <c r="E24" s="41">
        <v>0</v>
      </c>
      <c r="F24" s="41">
        <v>2280</v>
      </c>
      <c r="G24" s="41">
        <v>2080</v>
      </c>
      <c r="H24" s="41">
        <v>200</v>
      </c>
      <c r="I24" s="41">
        <v>400</v>
      </c>
    </row>
    <row r="25" spans="1:9" x14ac:dyDescent="0.35">
      <c r="A25" s="41" t="str">
        <f>tblDisponibilitéMatière[[#This Row],[Semaine]]&amp;"-"&amp;tblDisponibilitéMatière[[#This Row],[Opérateur]]</f>
        <v>W6-Op2</v>
      </c>
      <c r="B25" s="41" t="s">
        <v>10</v>
      </c>
      <c r="C25" s="41" t="s">
        <v>5</v>
      </c>
      <c r="D25" s="41" t="s">
        <v>56</v>
      </c>
      <c r="E25" s="41">
        <v>770</v>
      </c>
      <c r="F25" s="41">
        <v>2200</v>
      </c>
      <c r="G25" s="41">
        <v>2080</v>
      </c>
      <c r="H25" s="41">
        <v>890</v>
      </c>
      <c r="I25" s="41">
        <v>400</v>
      </c>
    </row>
    <row r="26" spans="1:9" x14ac:dyDescent="0.35">
      <c r="A26" s="40" t="str">
        <f>tblDisponibilitéMatière[[#This Row],[Semaine]]&amp;"-"&amp;tblDisponibilitéMatière[[#This Row],[Opérateur]]</f>
        <v>W7-Op1</v>
      </c>
      <c r="B26" s="40" t="s">
        <v>11</v>
      </c>
      <c r="C26" s="40" t="s">
        <v>4</v>
      </c>
      <c r="D26" s="40" t="s">
        <v>55</v>
      </c>
      <c r="E26" s="40">
        <v>0</v>
      </c>
      <c r="F26" s="40">
        <v>2500</v>
      </c>
      <c r="G26" s="40">
        <v>2210</v>
      </c>
      <c r="H26" s="40">
        <v>290</v>
      </c>
      <c r="I26" s="40">
        <v>400</v>
      </c>
    </row>
    <row r="27" spans="1:9" x14ac:dyDescent="0.35">
      <c r="A27" s="40" t="str">
        <f>tblDisponibilitéMatière[[#This Row],[Semaine]]&amp;"-"&amp;tblDisponibilitéMatière[[#This Row],[Opérateur]]</f>
        <v>W7-Op1</v>
      </c>
      <c r="B27" s="40" t="s">
        <v>11</v>
      </c>
      <c r="C27" s="40" t="s">
        <v>4</v>
      </c>
      <c r="D27" s="40" t="s">
        <v>56</v>
      </c>
      <c r="E27" s="40">
        <v>0</v>
      </c>
      <c r="F27" s="40">
        <v>2700</v>
      </c>
      <c r="G27" s="40">
        <v>2210</v>
      </c>
      <c r="H27" s="40">
        <v>490</v>
      </c>
      <c r="I27" s="40">
        <v>400</v>
      </c>
    </row>
    <row r="28" spans="1:9" x14ac:dyDescent="0.35">
      <c r="A28" s="40" t="str">
        <f>tblDisponibilitéMatière[[#This Row],[Semaine]]&amp;"-"&amp;tblDisponibilitéMatière[[#This Row],[Opérateur]]</f>
        <v>W7-Op2</v>
      </c>
      <c r="B28" s="40" t="s">
        <v>11</v>
      </c>
      <c r="C28" s="40" t="s">
        <v>5</v>
      </c>
      <c r="D28" s="40" t="s">
        <v>55</v>
      </c>
      <c r="E28" s="40">
        <v>200</v>
      </c>
      <c r="F28" s="40">
        <v>1840</v>
      </c>
      <c r="G28" s="40">
        <v>2130</v>
      </c>
      <c r="H28" s="40">
        <v>0</v>
      </c>
      <c r="I28" s="40">
        <v>400</v>
      </c>
    </row>
    <row r="29" spans="1:9" x14ac:dyDescent="0.35">
      <c r="A29" s="40" t="str">
        <f>tblDisponibilitéMatière[[#This Row],[Semaine]]&amp;"-"&amp;tblDisponibilitéMatière[[#This Row],[Opérateur]]</f>
        <v>W7-Op2</v>
      </c>
      <c r="B29" s="40" t="s">
        <v>11</v>
      </c>
      <c r="C29" s="40" t="s">
        <v>5</v>
      </c>
      <c r="D29" s="40" t="s">
        <v>56</v>
      </c>
      <c r="E29" s="40">
        <v>890</v>
      </c>
      <c r="F29" s="40">
        <v>2030</v>
      </c>
      <c r="G29" s="40">
        <v>2130</v>
      </c>
      <c r="H29" s="40">
        <v>790</v>
      </c>
      <c r="I29" s="40">
        <v>400</v>
      </c>
    </row>
    <row r="30" spans="1:9" x14ac:dyDescent="0.35">
      <c r="A30" s="41" t="str">
        <f>tblDisponibilitéMatière[[#This Row],[Semaine]]&amp;"-"&amp;tblDisponibilitéMatière[[#This Row],[Opérateur]]</f>
        <v>W8-Op1</v>
      </c>
      <c r="B30" s="41" t="s">
        <v>12</v>
      </c>
      <c r="C30" s="41" t="s">
        <v>4</v>
      </c>
      <c r="D30" s="41" t="s">
        <v>55</v>
      </c>
      <c r="E30" s="41">
        <v>290</v>
      </c>
      <c r="F30" s="41">
        <v>2000</v>
      </c>
      <c r="G30" s="41">
        <v>2000</v>
      </c>
      <c r="H30" s="41">
        <v>290</v>
      </c>
      <c r="I30" s="41">
        <v>400</v>
      </c>
    </row>
    <row r="31" spans="1:9" x14ac:dyDescent="0.35">
      <c r="A31" s="41" t="str">
        <f>tblDisponibilitéMatière[[#This Row],[Semaine]]&amp;"-"&amp;tblDisponibilitéMatière[[#This Row],[Opérateur]]</f>
        <v>W8-Op1</v>
      </c>
      <c r="B31" s="41" t="s">
        <v>12</v>
      </c>
      <c r="C31" s="41" t="s">
        <v>4</v>
      </c>
      <c r="D31" s="41" t="s">
        <v>56</v>
      </c>
      <c r="E31" s="41">
        <v>490</v>
      </c>
      <c r="F31" s="41">
        <v>2000</v>
      </c>
      <c r="G31" s="41">
        <v>2000</v>
      </c>
      <c r="H31" s="41">
        <v>490</v>
      </c>
      <c r="I31" s="41">
        <v>400</v>
      </c>
    </row>
    <row r="32" spans="1:9" x14ac:dyDescent="0.35">
      <c r="A32" s="41" t="str">
        <f>tblDisponibilitéMatière[[#This Row],[Semaine]]&amp;"-"&amp;tblDisponibilitéMatière[[#This Row],[Opérateur]]</f>
        <v>W8-Op2</v>
      </c>
      <c r="B32" s="41" t="s">
        <v>12</v>
      </c>
      <c r="C32" s="41" t="s">
        <v>5</v>
      </c>
      <c r="D32" s="41" t="s">
        <v>55</v>
      </c>
      <c r="E32" s="41">
        <v>0</v>
      </c>
      <c r="F32" s="41">
        <v>700</v>
      </c>
      <c r="G32" s="41">
        <v>1240</v>
      </c>
      <c r="H32" s="41">
        <v>0</v>
      </c>
      <c r="I32" s="41">
        <v>400</v>
      </c>
    </row>
    <row r="33" spans="1:9" x14ac:dyDescent="0.35">
      <c r="A33" s="41" t="str">
        <f>tblDisponibilitéMatière[[#This Row],[Semaine]]&amp;"-"&amp;tblDisponibilitéMatière[[#This Row],[Opérateur]]</f>
        <v>W8-Op2</v>
      </c>
      <c r="B33" s="41" t="s">
        <v>12</v>
      </c>
      <c r="C33" s="41" t="s">
        <v>5</v>
      </c>
      <c r="D33" s="41" t="s">
        <v>56</v>
      </c>
      <c r="E33" s="41">
        <v>790</v>
      </c>
      <c r="F33" s="41">
        <v>400</v>
      </c>
      <c r="G33" s="41">
        <v>1240</v>
      </c>
      <c r="H33" s="41">
        <v>0</v>
      </c>
      <c r="I33" s="41">
        <v>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BB52-804E-4997-A846-2643169772CB}">
  <sheetPr>
    <tabColor rgb="FF2BAEAB"/>
  </sheetPr>
  <dimension ref="A1:E3"/>
  <sheetViews>
    <sheetView zoomScale="120" workbookViewId="0">
      <selection activeCell="E5" sqref="E5"/>
    </sheetView>
  </sheetViews>
  <sheetFormatPr baseColWidth="10" defaultColWidth="8.7265625" defaultRowHeight="14.5" x14ac:dyDescent="0.35"/>
  <cols>
    <col min="1" max="1" width="12" bestFit="1" customWidth="1"/>
    <col min="2" max="2" width="7.08984375" bestFit="1" customWidth="1"/>
    <col min="3" max="3" width="8" bestFit="1" customWidth="1"/>
    <col min="4" max="4" width="9.453125" bestFit="1" customWidth="1"/>
    <col min="5" max="5" width="9.6328125" bestFit="1" customWidth="1"/>
  </cols>
  <sheetData>
    <row r="1" spans="1:5" x14ac:dyDescent="0.35">
      <c r="A1" s="39" t="s">
        <v>1</v>
      </c>
      <c r="B1" s="39" t="s">
        <v>46</v>
      </c>
      <c r="C1" s="39" t="s">
        <v>47</v>
      </c>
      <c r="D1" s="39" t="s">
        <v>48</v>
      </c>
      <c r="E1" s="39" t="s">
        <v>49</v>
      </c>
    </row>
    <row r="2" spans="1:5" x14ac:dyDescent="0.35">
      <c r="A2" s="38" t="s">
        <v>4</v>
      </c>
      <c r="B2" s="38">
        <v>5</v>
      </c>
      <c r="C2" s="38">
        <v>6</v>
      </c>
      <c r="D2" s="38">
        <v>53</v>
      </c>
      <c r="E2" s="38">
        <v>60</v>
      </c>
    </row>
    <row r="3" spans="1:5" x14ac:dyDescent="0.35">
      <c r="A3" s="37" t="s">
        <v>5</v>
      </c>
      <c r="B3" s="37">
        <v>4</v>
      </c>
      <c r="C3" s="37">
        <v>6</v>
      </c>
      <c r="D3" s="37">
        <v>42</v>
      </c>
      <c r="E3" s="37">
        <v>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8E3EE-4E4F-43D2-8A0E-4E08FAEB72EA}">
  <sheetPr>
    <tabColor theme="8" tint="0.39997558519241921"/>
  </sheetPr>
  <dimension ref="A1:B21"/>
  <sheetViews>
    <sheetView tabSelected="1" workbookViewId="0">
      <selection activeCell="A19" sqref="A19"/>
    </sheetView>
  </sheetViews>
  <sheetFormatPr baseColWidth="10" defaultColWidth="8.7265625" defaultRowHeight="14.5" x14ac:dyDescent="0.35"/>
  <cols>
    <col min="1" max="1" width="25.6328125" bestFit="1" customWidth="1"/>
    <col min="2" max="2" width="12.453125" bestFit="1" customWidth="1"/>
  </cols>
  <sheetData>
    <row r="1" spans="1:2" x14ac:dyDescent="0.35">
      <c r="A1" t="s">
        <v>24</v>
      </c>
      <c r="B1" t="s">
        <v>25</v>
      </c>
    </row>
    <row r="2" spans="1:2" x14ac:dyDescent="0.35">
      <c r="A2" s="25" t="s">
        <v>26</v>
      </c>
      <c r="B2" s="25">
        <v>30</v>
      </c>
    </row>
    <row r="3" spans="1:2" ht="29" x14ac:dyDescent="0.35">
      <c r="A3" s="25" t="s">
        <v>27</v>
      </c>
      <c r="B3" s="25">
        <v>20</v>
      </c>
    </row>
    <row r="4" spans="1:2" x14ac:dyDescent="0.35">
      <c r="A4" s="25" t="s">
        <v>28</v>
      </c>
      <c r="B4" s="25">
        <v>11</v>
      </c>
    </row>
    <row r="5" spans="1:2" x14ac:dyDescent="0.35">
      <c r="A5" s="25" t="s">
        <v>29</v>
      </c>
      <c r="B5" s="25">
        <v>7</v>
      </c>
    </row>
    <row r="6" spans="1:2" x14ac:dyDescent="0.35">
      <c r="A6" s="25" t="s">
        <v>30</v>
      </c>
      <c r="B6" s="25">
        <v>4</v>
      </c>
    </row>
    <row r="7" spans="1:2" x14ac:dyDescent="0.35">
      <c r="A7" s="25" t="s">
        <v>31</v>
      </c>
      <c r="B7" s="25">
        <v>3</v>
      </c>
    </row>
    <row r="8" spans="1:2" x14ac:dyDescent="0.35">
      <c r="A8" s="25" t="s">
        <v>32</v>
      </c>
      <c r="B8" s="25">
        <v>3</v>
      </c>
    </row>
    <row r="9" spans="1:2" x14ac:dyDescent="0.35">
      <c r="A9" s="25" t="s">
        <v>33</v>
      </c>
      <c r="B9" s="25">
        <v>3</v>
      </c>
    </row>
    <row r="10" spans="1:2" ht="29" x14ac:dyDescent="0.35">
      <c r="A10" s="25" t="s">
        <v>34</v>
      </c>
      <c r="B10" s="25">
        <v>3</v>
      </c>
    </row>
    <row r="11" spans="1:2" ht="29" x14ac:dyDescent="0.35">
      <c r="A11" s="25" t="s">
        <v>35</v>
      </c>
      <c r="B11" s="25">
        <v>2</v>
      </c>
    </row>
    <row r="12" spans="1:2" ht="29" x14ac:dyDescent="0.35">
      <c r="A12" s="25" t="s">
        <v>36</v>
      </c>
      <c r="B12" s="25">
        <v>2</v>
      </c>
    </row>
    <row r="13" spans="1:2" ht="29" x14ac:dyDescent="0.35">
      <c r="A13" s="25" t="s">
        <v>37</v>
      </c>
      <c r="B13" s="25">
        <v>2</v>
      </c>
    </row>
    <row r="14" spans="1:2" x14ac:dyDescent="0.35">
      <c r="A14" s="25" t="s">
        <v>38</v>
      </c>
      <c r="B14" s="25">
        <v>2</v>
      </c>
    </row>
    <row r="15" spans="1:2" x14ac:dyDescent="0.35">
      <c r="A15" s="25" t="s">
        <v>39</v>
      </c>
      <c r="B15" s="25">
        <v>2</v>
      </c>
    </row>
    <row r="16" spans="1:2" ht="29" x14ac:dyDescent="0.35">
      <c r="A16" s="25" t="s">
        <v>40</v>
      </c>
      <c r="B16" s="25">
        <v>1</v>
      </c>
    </row>
    <row r="17" spans="1:2" x14ac:dyDescent="0.35">
      <c r="A17" s="25" t="s">
        <v>41</v>
      </c>
      <c r="B17" s="25">
        <v>1</v>
      </c>
    </row>
    <row r="18" spans="1:2" ht="29" x14ac:dyDescent="0.35">
      <c r="A18" s="25" t="s">
        <v>42</v>
      </c>
      <c r="B18" s="25">
        <v>1</v>
      </c>
    </row>
    <row r="19" spans="1:2" x14ac:dyDescent="0.35">
      <c r="A19" s="25" t="s">
        <v>43</v>
      </c>
      <c r="B19" s="25">
        <v>1</v>
      </c>
    </row>
    <row r="20" spans="1:2" ht="29" x14ac:dyDescent="0.35">
      <c r="A20" s="25" t="s">
        <v>44</v>
      </c>
      <c r="B20" s="25">
        <v>1</v>
      </c>
    </row>
    <row r="21" spans="1:2" x14ac:dyDescent="0.35">
      <c r="A21" s="25" t="s">
        <v>45</v>
      </c>
      <c r="B21" s="2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Production</vt:lpstr>
      <vt:lpstr>Performance</vt:lpstr>
      <vt:lpstr>Qualité</vt:lpstr>
      <vt:lpstr>Défauts</vt:lpstr>
      <vt:lpstr>Disponibilité Matière</vt:lpstr>
      <vt:lpstr>Polyvalence et Formation</vt:lpstr>
      <vt:lpstr>Causes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Marwa Harcharras</cp:lastModifiedBy>
  <dcterms:created xsi:type="dcterms:W3CDTF">2025-09-18T16:50:40Z</dcterms:created>
  <dcterms:modified xsi:type="dcterms:W3CDTF">2025-12-02T08:51:42Z</dcterms:modified>
</cp:coreProperties>
</file>